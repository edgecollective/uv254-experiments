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pkearns/Dropbox/Aqueous Solutions/Josh/Wilkes Environmental Laboratories/ioRodeo/"/>
    </mc:Choice>
  </mc:AlternateContent>
  <xr:revisionPtr revIDLastSave="0" documentId="13_ncr:1_{03E1A6E9-6C66-654C-91F6-1A3C4F62D228}" xr6:coauthVersionLast="47" xr6:coauthVersionMax="47" xr10:uidLastSave="{00000000-0000-0000-0000-000000000000}"/>
  <bookViews>
    <workbookView xWindow="0" yWindow="500" windowWidth="37460" windowHeight="18540" xr2:uid="{A3DABC8D-8D1F-0F46-95D1-A222AF5C1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1" l="1"/>
  <c r="V18" i="1"/>
  <c r="V16" i="1"/>
  <c r="V14" i="1"/>
  <c r="V12" i="1"/>
  <c r="V10" i="1"/>
  <c r="V8" i="1"/>
  <c r="V6" i="1"/>
  <c r="L38" i="1"/>
  <c r="L36" i="1"/>
  <c r="L34" i="1"/>
  <c r="L32" i="1"/>
  <c r="L30" i="1"/>
  <c r="L25" i="1"/>
  <c r="L21" i="1"/>
  <c r="L18" i="1"/>
  <c r="L16" i="1"/>
  <c r="L14" i="1"/>
  <c r="L11" i="1"/>
  <c r="L8" i="1"/>
  <c r="F47" i="1" l="1"/>
  <c r="F45" i="1"/>
  <c r="F43" i="1"/>
  <c r="F41" i="1"/>
  <c r="F39" i="1"/>
  <c r="F37" i="1"/>
  <c r="F35" i="1"/>
  <c r="F33" i="1"/>
  <c r="F31" i="1"/>
  <c r="F29" i="1"/>
  <c r="F22" i="1"/>
  <c r="F20" i="1"/>
  <c r="F18" i="1"/>
  <c r="F16" i="1"/>
  <c r="F14" i="1"/>
  <c r="F12" i="1"/>
  <c r="F10" i="1"/>
  <c r="F8" i="1"/>
</calcChain>
</file>

<file path=xl/sharedStrings.xml><?xml version="1.0" encoding="utf-8"?>
<sst xmlns="http://schemas.openxmlformats.org/spreadsheetml/2006/main" count="58" uniqueCount="22">
  <si>
    <t>Real Tech</t>
  </si>
  <si>
    <t>DIY</t>
  </si>
  <si>
    <t>trans.</t>
  </si>
  <si>
    <t>V</t>
  </si>
  <si>
    <t>abs</t>
  </si>
  <si>
    <t>avg</t>
  </si>
  <si>
    <t>Bottle #</t>
  </si>
  <si>
    <t>DI blank</t>
  </si>
  <si>
    <t>Firmware Ver 4.0 (?) trial</t>
  </si>
  <si>
    <t>Firmware Ver 5.0 trial - no 0.100 cm-1 calibration point, need to manually calibrate</t>
  </si>
  <si>
    <t>Firmware Ver 6.0  trial - with 0.100 cm-1 fluorescein standard calibration point</t>
  </si>
  <si>
    <t>Ver 4.0 firmware with the 0.1 fluorescein std measured as a sample</t>
  </si>
  <si>
    <t>Ver 6.1 firmware with 0.1 fluorescein std and measured as a sample</t>
  </si>
  <si>
    <t>raw abs</t>
  </si>
  <si>
    <t>corr. abs</t>
  </si>
  <si>
    <t>Ver 6.1 firmware; fluorescein standards (not lake water DOM)</t>
  </si>
  <si>
    <t>Firmware Ver 6.1</t>
  </si>
  <si>
    <t>Firmware Ver 7.0</t>
  </si>
  <si>
    <t>RealTech</t>
  </si>
  <si>
    <t>DIY raw</t>
  </si>
  <si>
    <t>DIY corr.</t>
  </si>
  <si>
    <t>Ver 7.0 firmware, blank, 0.010 and 0.100 fluorescein standards, fluorescein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</si>
</sst>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70C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CCB53-4685-3145-BE39-ABC5BC9A2775}">
  <dimension ref="B3:X83"/>
  <sheetViews>
    <sheetView tabSelected="1" topLeftCell="A43" workbookViewId="0">
      <selection activeCell="L65" sqref="L65"/>
    </sheetView>
  </sheetViews>
  <sheetFormatPr baseColWidth="10" defaultRowHeight="16" x14ac:dyDescent="0.2"/>
  <sheetData>
    <row r="3" spans="2:22" x14ac:dyDescent="0.2">
      <c r="J3" t="s">
        <v>8</v>
      </c>
      <c r="R3" t="s">
        <v>11</v>
      </c>
    </row>
    <row r="4" spans="2:22" x14ac:dyDescent="0.2">
      <c r="B4" t="s">
        <v>9</v>
      </c>
      <c r="K4" t="s">
        <v>6</v>
      </c>
      <c r="L4" s="1" t="s">
        <v>0</v>
      </c>
      <c r="M4" t="s">
        <v>1</v>
      </c>
      <c r="N4" s="1"/>
      <c r="R4" s="1" t="s">
        <v>0</v>
      </c>
      <c r="S4" t="s">
        <v>1</v>
      </c>
      <c r="T4" s="1"/>
    </row>
    <row r="5" spans="2:22" x14ac:dyDescent="0.2">
      <c r="B5" s="1" t="s">
        <v>0</v>
      </c>
      <c r="C5" t="s">
        <v>1</v>
      </c>
      <c r="D5" s="1"/>
      <c r="L5" s="1"/>
      <c r="M5" t="s">
        <v>2</v>
      </c>
      <c r="N5" s="1" t="s">
        <v>3</v>
      </c>
      <c r="O5" t="s">
        <v>4</v>
      </c>
      <c r="R5" s="1"/>
      <c r="S5" t="s">
        <v>2</v>
      </c>
      <c r="T5" s="1" t="s">
        <v>3</v>
      </c>
      <c r="U5" t="s">
        <v>4</v>
      </c>
      <c r="V5" s="1" t="s">
        <v>5</v>
      </c>
    </row>
    <row r="6" spans="2:22" x14ac:dyDescent="0.2">
      <c r="B6" s="1"/>
      <c r="C6" t="s">
        <v>2</v>
      </c>
      <c r="D6" s="1" t="s">
        <v>3</v>
      </c>
      <c r="E6" t="s">
        <v>4</v>
      </c>
      <c r="F6" s="1" t="s">
        <v>5</v>
      </c>
      <c r="J6" t="s">
        <v>7</v>
      </c>
      <c r="K6">
        <v>0</v>
      </c>
      <c r="L6" s="1">
        <v>0</v>
      </c>
      <c r="M6">
        <v>1009</v>
      </c>
      <c r="N6" s="1">
        <v>0.73899999999999999</v>
      </c>
      <c r="R6">
        <v>0.10100000000000001</v>
      </c>
      <c r="S6">
        <v>854</v>
      </c>
      <c r="T6">
        <v>0.626</v>
      </c>
      <c r="U6">
        <v>8.1799999999999998E-2</v>
      </c>
      <c r="V6" s="2">
        <f>AVERAGE(U6:U7)</f>
        <v>8.2699999999999996E-2</v>
      </c>
    </row>
    <row r="7" spans="2:22" x14ac:dyDescent="0.2">
      <c r="B7" s="1">
        <v>0</v>
      </c>
      <c r="D7" s="1"/>
      <c r="E7" s="2">
        <v>0</v>
      </c>
      <c r="L7" s="1">
        <v>2E-3</v>
      </c>
      <c r="M7">
        <v>1006</v>
      </c>
      <c r="N7" s="1">
        <v>0.73699999999999999</v>
      </c>
      <c r="O7">
        <v>1.2999999999999999E-3</v>
      </c>
      <c r="S7">
        <v>851</v>
      </c>
      <c r="T7">
        <v>0.623</v>
      </c>
      <c r="U7">
        <v>8.3599999999999994E-2</v>
      </c>
    </row>
    <row r="8" spans="2:22" x14ac:dyDescent="0.2">
      <c r="B8">
        <v>0.10100000000000001</v>
      </c>
      <c r="C8">
        <v>823</v>
      </c>
      <c r="D8">
        <v>0.60299999999999998</v>
      </c>
      <c r="E8">
        <v>8.5400000000000004E-2</v>
      </c>
      <c r="F8" s="1">
        <f>AVERAGE(E8:E9)</f>
        <v>8.4749999999999992E-2</v>
      </c>
      <c r="L8" s="1">
        <f>L7</f>
        <v>2E-3</v>
      </c>
      <c r="M8" s="4">
        <v>1006</v>
      </c>
      <c r="N8">
        <v>0.73699999999999999</v>
      </c>
      <c r="O8" s="2">
        <v>1.1999999999999999E-3</v>
      </c>
      <c r="R8">
        <v>1.7000000000000001E-2</v>
      </c>
      <c r="S8">
        <v>993</v>
      </c>
      <c r="T8">
        <v>0.72699999999999998</v>
      </c>
      <c r="U8">
        <v>1.67E-2</v>
      </c>
      <c r="V8" s="2">
        <f>AVERAGE(U8:U9)</f>
        <v>1.72E-2</v>
      </c>
    </row>
    <row r="9" spans="2:22" x14ac:dyDescent="0.2">
      <c r="C9">
        <v>825</v>
      </c>
      <c r="D9">
        <v>0.60499999999999998</v>
      </c>
      <c r="E9">
        <v>8.4099999999999994E-2</v>
      </c>
      <c r="K9">
        <v>1</v>
      </c>
      <c r="L9" s="1">
        <v>1.9E-2</v>
      </c>
      <c r="M9">
        <v>965</v>
      </c>
      <c r="N9" s="1">
        <v>0.70699999999999996</v>
      </c>
      <c r="O9">
        <v>1.9300000000000001E-2</v>
      </c>
      <c r="S9">
        <v>990</v>
      </c>
      <c r="T9">
        <v>0.72499999999999998</v>
      </c>
      <c r="U9">
        <v>1.77E-2</v>
      </c>
    </row>
    <row r="10" spans="2:22" x14ac:dyDescent="0.2">
      <c r="B10">
        <v>3.9E-2</v>
      </c>
      <c r="C10">
        <v>925</v>
      </c>
      <c r="D10">
        <v>0.67700000000000005</v>
      </c>
      <c r="E10">
        <v>3.4799999999999998E-2</v>
      </c>
      <c r="F10" s="1">
        <f>AVERAGE(E10:E11)</f>
        <v>3.4500000000000003E-2</v>
      </c>
      <c r="L10" s="1">
        <v>2.1999999999999999E-2</v>
      </c>
      <c r="M10">
        <v>965</v>
      </c>
      <c r="N10" s="1">
        <v>0.70699999999999996</v>
      </c>
      <c r="O10">
        <v>1.9599999999999999E-2</v>
      </c>
      <c r="R10">
        <v>1.2999999999999999E-2</v>
      </c>
      <c r="S10">
        <v>996</v>
      </c>
      <c r="T10">
        <v>0.73</v>
      </c>
      <c r="U10">
        <v>1.52E-2</v>
      </c>
      <c r="V10" s="2">
        <f>AVERAGE(U10:U11)</f>
        <v>1.5050000000000001E-2</v>
      </c>
    </row>
    <row r="11" spans="2:22" x14ac:dyDescent="0.2">
      <c r="C11">
        <v>926</v>
      </c>
      <c r="D11">
        <v>0.67800000000000005</v>
      </c>
      <c r="E11">
        <v>3.4200000000000001E-2</v>
      </c>
      <c r="L11" s="1">
        <f>L10</f>
        <v>2.1999999999999999E-2</v>
      </c>
      <c r="M11">
        <v>964</v>
      </c>
      <c r="N11" s="1">
        <v>0.70599999999999996</v>
      </c>
      <c r="O11">
        <v>1.9800000000000002E-2</v>
      </c>
      <c r="S11">
        <v>997</v>
      </c>
      <c r="T11">
        <v>0.73</v>
      </c>
      <c r="U11">
        <v>1.49E-2</v>
      </c>
    </row>
    <row r="12" spans="2:22" x14ac:dyDescent="0.2">
      <c r="B12">
        <v>1.4E-2</v>
      </c>
      <c r="C12">
        <v>974</v>
      </c>
      <c r="D12">
        <v>0.71399999999999997</v>
      </c>
      <c r="E12">
        <v>1.2200000000000001E-2</v>
      </c>
      <c r="F12" s="1">
        <f>AVERAGE(E12:E13)</f>
        <v>1.2200000000000001E-2</v>
      </c>
      <c r="K12">
        <v>2</v>
      </c>
      <c r="L12" s="1">
        <v>2.8000000000000001E-2</v>
      </c>
      <c r="N12" s="1"/>
      <c r="O12">
        <v>2.76E-2</v>
      </c>
      <c r="R12">
        <v>0.115</v>
      </c>
      <c r="S12">
        <v>844</v>
      </c>
      <c r="T12">
        <v>0.61799999999999999</v>
      </c>
      <c r="U12">
        <v>8.7300000000000003E-2</v>
      </c>
      <c r="V12" s="2">
        <f>AVERAGE(U12:U13)</f>
        <v>8.7600000000000011E-2</v>
      </c>
    </row>
    <row r="13" spans="2:22" x14ac:dyDescent="0.2">
      <c r="C13">
        <v>974</v>
      </c>
      <c r="D13">
        <v>0.71399999999999997</v>
      </c>
      <c r="E13">
        <v>1.2200000000000001E-2</v>
      </c>
      <c r="L13" s="1">
        <v>3.2000000000000001E-2</v>
      </c>
      <c r="M13">
        <v>949</v>
      </c>
      <c r="N13" s="1">
        <v>0.69499999999999995</v>
      </c>
      <c r="O13">
        <v>2.6700000000000002E-2</v>
      </c>
      <c r="S13">
        <v>842</v>
      </c>
      <c r="T13">
        <v>0.61699999999999999</v>
      </c>
      <c r="U13">
        <v>8.7900000000000006E-2</v>
      </c>
    </row>
    <row r="14" spans="2:22" x14ac:dyDescent="0.2">
      <c r="B14">
        <v>5.6000000000000001E-2</v>
      </c>
      <c r="C14">
        <v>902</v>
      </c>
      <c r="D14">
        <v>0.66100000000000003</v>
      </c>
      <c r="E14">
        <v>4.53E-2</v>
      </c>
      <c r="F14" s="1">
        <f>AVERAGE(E14:E15)</f>
        <v>4.4649999999999995E-2</v>
      </c>
      <c r="L14" s="1">
        <f>L13</f>
        <v>3.2000000000000001E-2</v>
      </c>
      <c r="M14">
        <v>945</v>
      </c>
      <c r="N14" s="1">
        <v>0.69199999999999995</v>
      </c>
      <c r="O14">
        <v>2.86E-2</v>
      </c>
      <c r="R14">
        <v>2.8000000000000001E-2</v>
      </c>
      <c r="S14">
        <v>965</v>
      </c>
      <c r="T14">
        <v>0.70699999999999996</v>
      </c>
      <c r="U14">
        <v>2.9000000000000001E-2</v>
      </c>
      <c r="V14" s="2">
        <f>AVERAGE(U14:U15)</f>
        <v>2.8250000000000001E-2</v>
      </c>
    </row>
    <row r="15" spans="2:22" x14ac:dyDescent="0.2">
      <c r="C15">
        <v>905</v>
      </c>
      <c r="D15">
        <v>0.66300000000000003</v>
      </c>
      <c r="E15">
        <v>4.3999999999999997E-2</v>
      </c>
      <c r="K15">
        <v>3</v>
      </c>
      <c r="L15" s="1">
        <v>0.05</v>
      </c>
      <c r="M15">
        <v>910</v>
      </c>
      <c r="N15" s="1">
        <v>0.66700000000000004</v>
      </c>
      <c r="O15">
        <v>4.4699999999999997E-2</v>
      </c>
      <c r="S15">
        <v>968</v>
      </c>
      <c r="T15">
        <v>0.70899999999999996</v>
      </c>
      <c r="U15">
        <v>2.75E-2</v>
      </c>
    </row>
    <row r="16" spans="2:22" x14ac:dyDescent="0.2">
      <c r="B16">
        <v>3.5999999999999997E-2</v>
      </c>
      <c r="C16">
        <v>937</v>
      </c>
      <c r="D16">
        <v>0.68600000000000005</v>
      </c>
      <c r="E16">
        <v>2.9100000000000001E-2</v>
      </c>
      <c r="F16" s="1">
        <f>AVERAGE(E16:E17)</f>
        <v>2.9100000000000001E-2</v>
      </c>
      <c r="L16" s="1">
        <f>L15</f>
        <v>0.05</v>
      </c>
      <c r="N16" s="1"/>
      <c r="O16">
        <v>4.6399999999999997E-2</v>
      </c>
      <c r="R16">
        <v>9.0999999999999998E-2</v>
      </c>
      <c r="S16">
        <v>882</v>
      </c>
      <c r="T16">
        <v>0.64600000000000002</v>
      </c>
      <c r="U16">
        <v>6.8199999999999997E-2</v>
      </c>
      <c r="V16" s="2">
        <f>AVERAGE(U16:U17)</f>
        <v>6.7099999999999993E-2</v>
      </c>
    </row>
    <row r="17" spans="2:22" x14ac:dyDescent="0.2">
      <c r="C17">
        <v>937</v>
      </c>
      <c r="D17">
        <v>0.68600000000000005</v>
      </c>
      <c r="E17">
        <v>2.9100000000000001E-2</v>
      </c>
      <c r="L17" s="1">
        <v>5.7000000000000002E-2</v>
      </c>
      <c r="M17">
        <v>907</v>
      </c>
      <c r="N17" s="1">
        <v>0.66500000000000004</v>
      </c>
      <c r="O17">
        <v>4.6199999999999998E-2</v>
      </c>
      <c r="S17">
        <v>886</v>
      </c>
      <c r="T17">
        <v>0.64900000000000002</v>
      </c>
      <c r="U17">
        <v>6.6000000000000003E-2</v>
      </c>
    </row>
    <row r="18" spans="2:22" x14ac:dyDescent="0.2">
      <c r="B18">
        <v>3.4000000000000002E-2</v>
      </c>
      <c r="C18">
        <v>940</v>
      </c>
      <c r="D18">
        <v>0.68899999999999995</v>
      </c>
      <c r="E18">
        <v>2.7699999999999999E-2</v>
      </c>
      <c r="F18" s="1">
        <f>AVERAGE(E18:E19)</f>
        <v>2.7949999999999999E-2</v>
      </c>
      <c r="L18" s="1">
        <f>L17</f>
        <v>5.7000000000000002E-2</v>
      </c>
      <c r="M18">
        <v>904</v>
      </c>
      <c r="N18" s="1">
        <v>0.66200000000000003</v>
      </c>
      <c r="O18">
        <v>4.8000000000000001E-2</v>
      </c>
      <c r="R18" s="1">
        <v>0.04</v>
      </c>
      <c r="S18">
        <v>949</v>
      </c>
      <c r="T18">
        <v>0.69499999999999995</v>
      </c>
      <c r="U18">
        <v>3.6299999999999999E-2</v>
      </c>
      <c r="V18" s="2">
        <f>AVERAGE(U18:U19)</f>
        <v>3.6549999999999999E-2</v>
      </c>
    </row>
    <row r="19" spans="2:22" x14ac:dyDescent="0.2">
      <c r="C19">
        <v>939</v>
      </c>
      <c r="D19">
        <v>0.68799999999999994</v>
      </c>
      <c r="E19">
        <v>2.8199999999999999E-2</v>
      </c>
      <c r="K19">
        <v>4</v>
      </c>
      <c r="L19" s="1">
        <v>8.9999999999999993E-3</v>
      </c>
      <c r="M19">
        <v>984</v>
      </c>
      <c r="N19" s="1">
        <v>0.72099999999999997</v>
      </c>
      <c r="O19">
        <v>1.11E-2</v>
      </c>
      <c r="S19">
        <v>948</v>
      </c>
      <c r="T19">
        <v>0.69399999999999995</v>
      </c>
      <c r="U19">
        <v>3.6799999999999999E-2</v>
      </c>
    </row>
    <row r="20" spans="2:22" x14ac:dyDescent="0.2">
      <c r="B20">
        <v>2.4E-2</v>
      </c>
      <c r="C20">
        <v>959</v>
      </c>
      <c r="D20">
        <v>0.70199999999999996</v>
      </c>
      <c r="E20">
        <v>1.9E-2</v>
      </c>
      <c r="F20" s="1">
        <f>AVERAGE(E20:E21)</f>
        <v>1.84E-2</v>
      </c>
      <c r="L20" s="1">
        <v>1.2E-2</v>
      </c>
      <c r="M20">
        <v>985</v>
      </c>
      <c r="N20" s="1">
        <v>0.72199999999999998</v>
      </c>
      <c r="O20">
        <v>1.06E-2</v>
      </c>
      <c r="R20">
        <v>3.7999999999999999E-2</v>
      </c>
      <c r="S20">
        <v>955</v>
      </c>
      <c r="T20">
        <v>0.69899999999999995</v>
      </c>
      <c r="U20">
        <v>3.3700000000000001E-2</v>
      </c>
      <c r="V20" s="2">
        <f>AVERAGE(U20:U21)</f>
        <v>3.295E-2</v>
      </c>
    </row>
    <row r="21" spans="2:22" x14ac:dyDescent="0.2">
      <c r="C21">
        <v>962</v>
      </c>
      <c r="D21">
        <v>0.70399999999999996</v>
      </c>
      <c r="E21">
        <v>1.78E-2</v>
      </c>
      <c r="L21" s="1">
        <f>L20</f>
        <v>1.2E-2</v>
      </c>
      <c r="M21">
        <v>983</v>
      </c>
      <c r="N21" s="1">
        <v>0.72</v>
      </c>
      <c r="O21">
        <v>1.12E-2</v>
      </c>
      <c r="S21">
        <v>958</v>
      </c>
      <c r="T21">
        <v>0.70199999999999996</v>
      </c>
      <c r="U21">
        <v>3.2199999999999999E-2</v>
      </c>
    </row>
    <row r="22" spans="2:22" x14ac:dyDescent="0.2">
      <c r="B22">
        <v>-1E-3</v>
      </c>
      <c r="C22">
        <v>1014</v>
      </c>
      <c r="D22">
        <v>0.74299999999999999</v>
      </c>
      <c r="E22">
        <v>-5.4000000000000003E-3</v>
      </c>
      <c r="F22" s="1">
        <f>AVERAGE(E22:E23)</f>
        <v>-4.7500000000000007E-3</v>
      </c>
      <c r="K22">
        <v>5</v>
      </c>
      <c r="L22" s="1">
        <v>1E-3</v>
      </c>
      <c r="M22">
        <v>1002</v>
      </c>
      <c r="N22" s="1">
        <v>0.73399999999999999</v>
      </c>
      <c r="O22">
        <v>3.3E-3</v>
      </c>
    </row>
    <row r="23" spans="2:22" x14ac:dyDescent="0.2">
      <c r="C23">
        <v>1011</v>
      </c>
      <c r="D23">
        <v>0.74099999999999999</v>
      </c>
      <c r="E23">
        <v>-4.1000000000000003E-3</v>
      </c>
      <c r="K23">
        <v>6</v>
      </c>
      <c r="L23" s="1">
        <v>4.1000000000000002E-2</v>
      </c>
      <c r="M23">
        <v>930</v>
      </c>
      <c r="N23" s="1">
        <v>0.68100000000000005</v>
      </c>
      <c r="O23">
        <v>3.56E-2</v>
      </c>
    </row>
    <row r="24" spans="2:22" x14ac:dyDescent="0.2">
      <c r="F24" s="3"/>
      <c r="L24" s="1">
        <v>4.7E-2</v>
      </c>
      <c r="M24">
        <v>927</v>
      </c>
      <c r="N24" s="1">
        <v>0.67900000000000005</v>
      </c>
      <c r="O24">
        <v>3.6999999999999998E-2</v>
      </c>
    </row>
    <row r="25" spans="2:22" x14ac:dyDescent="0.2">
      <c r="L25" s="1">
        <f>L24</f>
        <v>4.7E-2</v>
      </c>
      <c r="M25">
        <v>925</v>
      </c>
      <c r="N25" s="1">
        <v>0.66700000000000004</v>
      </c>
      <c r="O25">
        <v>3.7999999999999999E-2</v>
      </c>
      <c r="R25" t="s">
        <v>12</v>
      </c>
    </row>
    <row r="26" spans="2:22" x14ac:dyDescent="0.2">
      <c r="B26" t="s">
        <v>10</v>
      </c>
      <c r="K26">
        <v>7</v>
      </c>
      <c r="L26" s="1">
        <v>2E-3</v>
      </c>
      <c r="M26">
        <v>996</v>
      </c>
      <c r="N26" s="1">
        <v>0.73</v>
      </c>
      <c r="O26">
        <v>5.7000000000000002E-3</v>
      </c>
      <c r="R26" s="1" t="s">
        <v>0</v>
      </c>
      <c r="S26" t="s">
        <v>1</v>
      </c>
      <c r="T26" s="1"/>
    </row>
    <row r="27" spans="2:22" x14ac:dyDescent="0.2">
      <c r="B27" s="1" t="s">
        <v>0</v>
      </c>
      <c r="C27" t="s">
        <v>1</v>
      </c>
      <c r="D27" s="1"/>
      <c r="K27">
        <v>8</v>
      </c>
      <c r="L27" s="1">
        <v>5.0000000000000001E-3</v>
      </c>
      <c r="M27">
        <v>995</v>
      </c>
      <c r="N27" s="1">
        <v>0.72899999999999998</v>
      </c>
      <c r="O27">
        <v>6.3E-3</v>
      </c>
      <c r="R27" s="1"/>
      <c r="S27" t="s">
        <v>2</v>
      </c>
      <c r="T27" s="1" t="s">
        <v>3</v>
      </c>
      <c r="U27" t="s">
        <v>13</v>
      </c>
      <c r="V27" s="1" t="s">
        <v>14</v>
      </c>
    </row>
    <row r="28" spans="2:22" x14ac:dyDescent="0.2">
      <c r="B28" s="1"/>
      <c r="C28" t="s">
        <v>2</v>
      </c>
      <c r="D28" s="1" t="s">
        <v>3</v>
      </c>
      <c r="E28" t="s">
        <v>4</v>
      </c>
      <c r="F28" s="1" t="s">
        <v>5</v>
      </c>
      <c r="K28">
        <v>9</v>
      </c>
      <c r="L28" s="1">
        <v>6.3E-2</v>
      </c>
      <c r="M28">
        <v>897</v>
      </c>
      <c r="N28" s="1">
        <v>0.65700000000000003</v>
      </c>
      <c r="O28">
        <v>5.1299999999999998E-2</v>
      </c>
      <c r="R28">
        <v>0.10100000000000001</v>
      </c>
      <c r="S28">
        <v>850</v>
      </c>
      <c r="T28">
        <v>0.623</v>
      </c>
      <c r="U28">
        <v>8.3299999999999999E-2</v>
      </c>
      <c r="V28">
        <v>0.1003</v>
      </c>
    </row>
    <row r="29" spans="2:22" x14ac:dyDescent="0.2">
      <c r="B29" s="1">
        <v>7.0000000000000007E-2</v>
      </c>
      <c r="C29">
        <v>892</v>
      </c>
      <c r="D29" s="1">
        <v>0.65300000000000002</v>
      </c>
      <c r="E29" s="2">
        <v>7.4200000000000002E-2</v>
      </c>
      <c r="F29" s="2">
        <f>AVERAGE(E29:E30)</f>
        <v>7.3450000000000001E-2</v>
      </c>
      <c r="L29" s="1">
        <v>6.2E-2</v>
      </c>
      <c r="M29">
        <v>899</v>
      </c>
      <c r="N29" s="1">
        <v>0.65900000000000003</v>
      </c>
      <c r="O29">
        <v>5.0200000000000002E-2</v>
      </c>
      <c r="R29">
        <v>9.1999999999999998E-2</v>
      </c>
      <c r="S29">
        <v>888</v>
      </c>
      <c r="T29">
        <v>0.65100000000000002</v>
      </c>
      <c r="U29">
        <v>6.4299999999999996E-2</v>
      </c>
      <c r="V29">
        <v>7.7299999999999994E-2</v>
      </c>
    </row>
    <row r="30" spans="2:22" x14ac:dyDescent="0.2">
      <c r="C30">
        <v>895</v>
      </c>
      <c r="D30">
        <v>0.65500000000000003</v>
      </c>
      <c r="E30">
        <v>7.2700000000000001E-2</v>
      </c>
      <c r="L30" s="1">
        <f>L29</f>
        <v>6.2E-2</v>
      </c>
      <c r="M30">
        <v>899</v>
      </c>
      <c r="N30" s="1">
        <v>0.65900000000000003</v>
      </c>
      <c r="O30">
        <v>5.0200000000000002E-2</v>
      </c>
      <c r="R30">
        <v>2.8000000000000001E-2</v>
      </c>
      <c r="S30">
        <v>981</v>
      </c>
      <c r="T30">
        <v>0.71899999999999997</v>
      </c>
      <c r="U30">
        <v>2.1100000000000001E-2</v>
      </c>
      <c r="V30">
        <v>2.5399999999999999E-2</v>
      </c>
    </row>
    <row r="31" spans="2:22" x14ac:dyDescent="0.2">
      <c r="B31">
        <v>1.6E-2</v>
      </c>
      <c r="C31">
        <v>978</v>
      </c>
      <c r="D31">
        <v>0.71599999999999997</v>
      </c>
      <c r="E31">
        <v>2.7400000000000001E-2</v>
      </c>
      <c r="F31" s="2">
        <f>AVERAGE(E31:E32)</f>
        <v>2.7349999999999999E-2</v>
      </c>
      <c r="K31">
        <v>10</v>
      </c>
      <c r="L31" s="1">
        <v>7.5999999999999998E-2</v>
      </c>
      <c r="M31">
        <v>880</v>
      </c>
      <c r="N31" s="1">
        <v>0.65400000000000003</v>
      </c>
      <c r="O31">
        <v>5.9400000000000001E-2</v>
      </c>
      <c r="R31">
        <v>6.3E-2</v>
      </c>
      <c r="S31">
        <v>929</v>
      </c>
      <c r="T31">
        <v>0.68100000000000005</v>
      </c>
      <c r="U31">
        <v>4.48E-2</v>
      </c>
      <c r="V31">
        <v>5.3900000000000003E-2</v>
      </c>
    </row>
    <row r="32" spans="2:22" x14ac:dyDescent="0.2">
      <c r="C32">
        <v>978</v>
      </c>
      <c r="D32" s="1">
        <v>0.71699999999999997</v>
      </c>
      <c r="E32">
        <v>2.7300000000000001E-2</v>
      </c>
      <c r="L32" s="1">
        <f>L31</f>
        <v>7.5999999999999998E-2</v>
      </c>
      <c r="M32">
        <v>881</v>
      </c>
      <c r="N32" s="1">
        <v>0.65400000000000003</v>
      </c>
      <c r="O32">
        <v>5.91E-2</v>
      </c>
      <c r="R32" s="1">
        <v>0.04</v>
      </c>
      <c r="S32">
        <v>952</v>
      </c>
      <c r="T32">
        <v>0.69799999999999995</v>
      </c>
      <c r="U32">
        <v>3.4099999999999998E-2</v>
      </c>
      <c r="V32">
        <v>4.1099999999999998E-2</v>
      </c>
    </row>
    <row r="33" spans="2:22" x14ac:dyDescent="0.2">
      <c r="B33">
        <v>8.6999999999999994E-2</v>
      </c>
      <c r="C33">
        <v>880</v>
      </c>
      <c r="D33" s="1">
        <v>0.64400000000000002</v>
      </c>
      <c r="E33">
        <v>8.1199999999999994E-2</v>
      </c>
      <c r="F33" s="2">
        <f>AVERAGE(E33:E34)</f>
        <v>8.0499999999999988E-2</v>
      </c>
      <c r="L33" s="1">
        <v>7.4999999999999997E-2</v>
      </c>
      <c r="M33">
        <v>885</v>
      </c>
      <c r="N33" s="1">
        <v>0.64800000000000002</v>
      </c>
      <c r="O33">
        <v>5.6899999999999999E-2</v>
      </c>
      <c r="R33">
        <v>1.7000000000000001E-2</v>
      </c>
      <c r="S33">
        <v>996</v>
      </c>
      <c r="T33">
        <v>0.72899999999999998</v>
      </c>
      <c r="U33">
        <v>1.47E-2</v>
      </c>
      <c r="V33">
        <v>1.77E-2</v>
      </c>
    </row>
    <row r="34" spans="2:22" x14ac:dyDescent="0.2">
      <c r="C34">
        <v>882</v>
      </c>
      <c r="D34" s="1">
        <v>0.64600000000000002</v>
      </c>
      <c r="E34">
        <v>7.9799999999999996E-2</v>
      </c>
      <c r="L34" s="1">
        <f>L33</f>
        <v>7.4999999999999997E-2</v>
      </c>
      <c r="M34">
        <v>882</v>
      </c>
      <c r="N34" s="1">
        <v>0.64600000000000002</v>
      </c>
      <c r="O34">
        <v>5.8299999999999998E-2</v>
      </c>
      <c r="R34">
        <v>3.6999999999999998E-2</v>
      </c>
      <c r="S34">
        <v>956</v>
      </c>
      <c r="T34" s="1">
        <v>0.7</v>
      </c>
      <c r="U34">
        <v>3.2599999999999997E-2</v>
      </c>
      <c r="V34">
        <v>3.9199999999999999E-2</v>
      </c>
    </row>
    <row r="35" spans="2:22" x14ac:dyDescent="0.2">
      <c r="B35">
        <v>3.6999999999999998E-2</v>
      </c>
      <c r="C35">
        <v>947</v>
      </c>
      <c r="D35" s="1">
        <v>0.69399999999999995</v>
      </c>
      <c r="E35">
        <v>4.3799999999999999E-2</v>
      </c>
      <c r="F35" s="2">
        <f>AVERAGE(E35:E36)</f>
        <v>4.385E-2</v>
      </c>
      <c r="K35">
        <v>11</v>
      </c>
      <c r="L35" s="1">
        <v>5.3999999999999999E-2</v>
      </c>
      <c r="M35">
        <v>910</v>
      </c>
      <c r="N35" s="1">
        <v>0.66700000000000004</v>
      </c>
      <c r="O35">
        <v>4.4900000000000002E-2</v>
      </c>
      <c r="R35">
        <v>1.2E-2</v>
      </c>
      <c r="S35">
        <v>1002</v>
      </c>
      <c r="T35">
        <v>0.73399999999999999</v>
      </c>
      <c r="U35">
        <v>1.21E-2</v>
      </c>
      <c r="V35">
        <v>1.4500000000000001E-2</v>
      </c>
    </row>
    <row r="36" spans="2:22" x14ac:dyDescent="0.2">
      <c r="C36">
        <v>947</v>
      </c>
      <c r="D36" s="1">
        <v>0.69399999999999995</v>
      </c>
      <c r="E36">
        <v>4.3900000000000002E-2</v>
      </c>
      <c r="L36" s="1">
        <f>L35</f>
        <v>5.3999999999999999E-2</v>
      </c>
      <c r="M36">
        <v>915</v>
      </c>
      <c r="N36" s="1">
        <v>0.67</v>
      </c>
      <c r="O36">
        <v>4.2700000000000002E-2</v>
      </c>
    </row>
    <row r="37" spans="2:22" x14ac:dyDescent="0.2">
      <c r="B37">
        <v>3.2000000000000001E-2</v>
      </c>
      <c r="C37">
        <v>955</v>
      </c>
      <c r="D37" s="1">
        <v>0.69899999999999995</v>
      </c>
      <c r="E37">
        <v>3.9699999999999999E-2</v>
      </c>
      <c r="F37" s="2">
        <f>AVERAGE(E37:E38)</f>
        <v>3.9949999999999999E-2</v>
      </c>
      <c r="L37" s="1">
        <v>5.1999999999999998E-2</v>
      </c>
      <c r="M37">
        <v>911</v>
      </c>
      <c r="N37" s="1">
        <v>0.66800000000000004</v>
      </c>
      <c r="O37">
        <v>4.4299999999999999E-2</v>
      </c>
    </row>
    <row r="38" spans="2:22" x14ac:dyDescent="0.2">
      <c r="C38">
        <v>954</v>
      </c>
      <c r="D38" s="1">
        <v>0.69899999999999995</v>
      </c>
      <c r="E38">
        <v>4.02E-2</v>
      </c>
      <c r="L38" s="1">
        <f>L37</f>
        <v>5.1999999999999998E-2</v>
      </c>
      <c r="M38">
        <v>916</v>
      </c>
      <c r="N38" s="1">
        <v>0.67100000000000004</v>
      </c>
      <c r="O38">
        <v>4.1799999999999997E-2</v>
      </c>
      <c r="R38" t="s">
        <v>15</v>
      </c>
    </row>
    <row r="39" spans="2:22" x14ac:dyDescent="0.2">
      <c r="B39">
        <v>2.5999999999999999E-2</v>
      </c>
      <c r="C39">
        <v>962</v>
      </c>
      <c r="D39" s="1">
        <v>0.70499999999999996</v>
      </c>
      <c r="E39">
        <v>3.5999999999999997E-2</v>
      </c>
      <c r="F39" s="2">
        <f>AVERAGE(E39:E40)</f>
        <v>3.6900000000000002E-2</v>
      </c>
      <c r="R39" s="1" t="s">
        <v>0</v>
      </c>
      <c r="S39" t="s">
        <v>1</v>
      </c>
      <c r="T39" s="1"/>
    </row>
    <row r="40" spans="2:22" x14ac:dyDescent="0.2">
      <c r="C40">
        <v>958</v>
      </c>
      <c r="D40" s="1">
        <v>0.70199999999999996</v>
      </c>
      <c r="E40">
        <v>3.78E-2</v>
      </c>
      <c r="S40" t="s">
        <v>2</v>
      </c>
      <c r="T40" s="1" t="s">
        <v>3</v>
      </c>
      <c r="U40" t="s">
        <v>13</v>
      </c>
      <c r="V40" s="1" t="s">
        <v>14</v>
      </c>
    </row>
    <row r="41" spans="2:22" x14ac:dyDescent="0.2">
      <c r="B41">
        <v>2.5000000000000001E-2</v>
      </c>
      <c r="C41">
        <v>966</v>
      </c>
      <c r="D41" s="1">
        <v>0.7</v>
      </c>
      <c r="E41">
        <v>3.3500000000000002E-2</v>
      </c>
      <c r="F41" s="2">
        <f>AVERAGE(E41:E42)</f>
        <v>3.2850000000000004E-2</v>
      </c>
      <c r="R41" s="1">
        <v>0.104</v>
      </c>
      <c r="S41">
        <v>857</v>
      </c>
      <c r="T41">
        <v>0.628</v>
      </c>
      <c r="U41">
        <v>9.0300000000000005E-2</v>
      </c>
      <c r="V41">
        <v>0.1043</v>
      </c>
    </row>
    <row r="42" spans="2:22" x14ac:dyDescent="0.2">
      <c r="C42">
        <v>969</v>
      </c>
      <c r="D42" s="1">
        <v>0.71</v>
      </c>
      <c r="E42">
        <v>3.2199999999999999E-2</v>
      </c>
      <c r="R42">
        <v>5.0000000000000001E-3</v>
      </c>
      <c r="S42">
        <v>1034</v>
      </c>
      <c r="T42">
        <v>0.75800000000000001</v>
      </c>
      <c r="U42">
        <v>8.6E-3</v>
      </c>
      <c r="V42">
        <v>9.9000000000000008E-3</v>
      </c>
    </row>
    <row r="43" spans="2:22" x14ac:dyDescent="0.2">
      <c r="B43">
        <v>1.0999999999999999E-2</v>
      </c>
      <c r="C43">
        <v>994</v>
      </c>
      <c r="D43" s="1">
        <v>0.72899999999999998</v>
      </c>
      <c r="E43">
        <v>1.9E-2</v>
      </c>
      <c r="F43" s="2">
        <f>AVERAGE(E43:E44)</f>
        <v>1.8749999999999999E-2</v>
      </c>
      <c r="R43">
        <v>7.4999999999999997E-2</v>
      </c>
      <c r="S43">
        <v>905</v>
      </c>
      <c r="T43">
        <v>0.66300000000000003</v>
      </c>
      <c r="U43">
        <v>6.6600000000000006E-2</v>
      </c>
      <c r="V43">
        <v>7.6999999999999999E-2</v>
      </c>
    </row>
    <row r="44" spans="2:22" x14ac:dyDescent="0.2">
      <c r="C44">
        <v>995</v>
      </c>
      <c r="D44" s="1">
        <v>0.72899999999999998</v>
      </c>
      <c r="E44">
        <v>1.8499999999999999E-2</v>
      </c>
      <c r="R44">
        <v>8.6999999999999994E-2</v>
      </c>
      <c r="S44">
        <v>880</v>
      </c>
      <c r="T44">
        <v>0.64500000000000002</v>
      </c>
      <c r="U44">
        <v>7.8600000000000003E-2</v>
      </c>
      <c r="V44">
        <v>9.0800000000000006E-2</v>
      </c>
    </row>
    <row r="45" spans="2:22" x14ac:dyDescent="0.2">
      <c r="B45">
        <v>3.9E-2</v>
      </c>
      <c r="C45">
        <v>943</v>
      </c>
      <c r="D45" s="1">
        <v>0.69099999999999995</v>
      </c>
      <c r="E45">
        <v>4.58E-2</v>
      </c>
      <c r="F45" s="2">
        <f>AVERAGE(E45:E46)</f>
        <v>4.5249999999999999E-2</v>
      </c>
      <c r="R45">
        <v>1.6E-2</v>
      </c>
      <c r="S45">
        <v>1005</v>
      </c>
      <c r="T45">
        <v>0.73599999999999999</v>
      </c>
      <c r="U45">
        <v>2.1000000000000001E-2</v>
      </c>
      <c r="V45">
        <v>2.4299999999999999E-2</v>
      </c>
    </row>
    <row r="46" spans="2:22" x14ac:dyDescent="0.2">
      <c r="C46">
        <v>945</v>
      </c>
      <c r="D46" s="1">
        <v>0.69199999999999995</v>
      </c>
      <c r="E46">
        <v>4.4699999999999997E-2</v>
      </c>
      <c r="R46">
        <v>2.5000000000000001E-2</v>
      </c>
      <c r="S46">
        <v>987</v>
      </c>
      <c r="T46">
        <v>0.72299999999999998</v>
      </c>
      <c r="U46">
        <v>2.8799999999999999E-2</v>
      </c>
      <c r="V46">
        <v>3.32E-2</v>
      </c>
    </row>
    <row r="47" spans="2:22" x14ac:dyDescent="0.2">
      <c r="B47">
        <v>0.10199999999999999</v>
      </c>
      <c r="C47">
        <v>842</v>
      </c>
      <c r="D47" s="1">
        <v>0.61699999999999999</v>
      </c>
      <c r="E47">
        <v>0.1032</v>
      </c>
      <c r="F47" s="2">
        <f>AVERAGE(E47:E48)</f>
        <v>0.10395</v>
      </c>
      <c r="R47">
        <v>5.1999999999999998E-2</v>
      </c>
      <c r="S47">
        <v>939</v>
      </c>
      <c r="T47">
        <v>0.68799999999999994</v>
      </c>
      <c r="U47">
        <v>5.0799999999999998E-2</v>
      </c>
      <c r="V47">
        <v>5.8700000000000002E-2</v>
      </c>
    </row>
    <row r="48" spans="2:22" x14ac:dyDescent="0.2">
      <c r="C48">
        <v>840</v>
      </c>
      <c r="D48" s="1">
        <v>0.61499999999999999</v>
      </c>
      <c r="E48">
        <v>0.1047</v>
      </c>
    </row>
    <row r="52" spans="10:24" x14ac:dyDescent="0.2">
      <c r="J52" t="s">
        <v>21</v>
      </c>
      <c r="R52" s="5"/>
      <c r="S52" s="6" t="s">
        <v>16</v>
      </c>
      <c r="T52" s="5"/>
      <c r="V52" s="5"/>
      <c r="W52" s="7" t="s">
        <v>17</v>
      </c>
      <c r="X52" s="5"/>
    </row>
    <row r="53" spans="10:24" x14ac:dyDescent="0.2">
      <c r="J53" s="1" t="s">
        <v>0</v>
      </c>
      <c r="K53" t="s">
        <v>1</v>
      </c>
      <c r="L53" s="1"/>
      <c r="R53" s="8" t="s">
        <v>18</v>
      </c>
      <c r="S53" s="8" t="s">
        <v>19</v>
      </c>
      <c r="T53" s="8" t="s">
        <v>20</v>
      </c>
      <c r="V53" s="8" t="s">
        <v>18</v>
      </c>
      <c r="W53" s="8" t="s">
        <v>19</v>
      </c>
      <c r="X53" s="8" t="s">
        <v>20</v>
      </c>
    </row>
    <row r="54" spans="10:24" x14ac:dyDescent="0.2">
      <c r="K54" t="s">
        <v>2</v>
      </c>
      <c r="L54" s="1" t="s">
        <v>3</v>
      </c>
      <c r="M54" t="s">
        <v>13</v>
      </c>
      <c r="N54" s="1" t="s">
        <v>14</v>
      </c>
      <c r="R54" s="5"/>
      <c r="S54" s="5"/>
      <c r="T54" s="5"/>
      <c r="V54" s="5"/>
      <c r="W54" s="5"/>
      <c r="X54" s="5"/>
    </row>
    <row r="55" spans="10:24" x14ac:dyDescent="0.2">
      <c r="J55" s="1">
        <v>0.09</v>
      </c>
      <c r="K55">
        <v>893</v>
      </c>
      <c r="L55">
        <v>0.65400000000000003</v>
      </c>
      <c r="M55" s="2">
        <v>7.4899999999999994E-2</v>
      </c>
      <c r="N55" s="2">
        <v>8.9800000000000005E-2</v>
      </c>
      <c r="R55" s="9">
        <v>2E-3</v>
      </c>
      <c r="S55" s="10">
        <v>3.7000000000000002E-3</v>
      </c>
      <c r="T55" s="10">
        <v>4.3E-3</v>
      </c>
      <c r="V55" s="9">
        <v>7.0000000000000001E-3</v>
      </c>
      <c r="W55" s="11">
        <v>1.3299999999999999E-2</v>
      </c>
      <c r="X55" s="11">
        <v>1.0200000000000001E-2</v>
      </c>
    </row>
    <row r="56" spans="10:24" x14ac:dyDescent="0.2">
      <c r="J56" s="1">
        <v>7.6999999999999999E-2</v>
      </c>
      <c r="K56">
        <v>914</v>
      </c>
      <c r="L56">
        <v>0.66900000000000004</v>
      </c>
      <c r="M56" s="2">
        <v>6.4799999999999996E-2</v>
      </c>
      <c r="N56" s="2">
        <v>7.7399999999999997E-2</v>
      </c>
      <c r="R56" s="9">
        <v>5.0000000000000001E-3</v>
      </c>
      <c r="S56" s="10">
        <v>6.0000000000000001E-3</v>
      </c>
      <c r="T56" s="10">
        <v>6.8999999999999999E-3</v>
      </c>
      <c r="V56" s="9"/>
      <c r="W56" s="11"/>
      <c r="X56" s="11"/>
    </row>
    <row r="57" spans="10:24" x14ac:dyDescent="0.2">
      <c r="J57" s="1">
        <v>5.3999999999999999E-2</v>
      </c>
      <c r="K57">
        <v>949</v>
      </c>
      <c r="L57">
        <v>0.69499999999999995</v>
      </c>
      <c r="M57" s="2">
        <v>4.8300000000000003E-2</v>
      </c>
      <c r="N57" s="2">
        <v>5.7500000000000002E-2</v>
      </c>
      <c r="R57" s="9">
        <v>8.0000000000000002E-3</v>
      </c>
      <c r="S57" s="10">
        <v>0.01</v>
      </c>
      <c r="T57" s="10">
        <v>1.17E-2</v>
      </c>
      <c r="V57" s="9">
        <v>2.1000000000000001E-2</v>
      </c>
      <c r="W57" s="11">
        <v>2.5499999999999998E-2</v>
      </c>
      <c r="X57" s="11">
        <v>2.5899999999999999E-2</v>
      </c>
    </row>
    <row r="58" spans="10:24" x14ac:dyDescent="0.2">
      <c r="J58" s="1">
        <v>1.7999999999999999E-2</v>
      </c>
      <c r="K58">
        <v>1016</v>
      </c>
      <c r="L58">
        <v>0.74399999999999999</v>
      </c>
      <c r="M58" s="2">
        <v>1.8800000000000001E-2</v>
      </c>
      <c r="N58" s="2">
        <v>2.1700000000000001E-2</v>
      </c>
      <c r="R58" s="9">
        <v>2.4E-2</v>
      </c>
      <c r="S58" s="10">
        <v>2.07E-2</v>
      </c>
      <c r="T58" s="10">
        <v>2.41E-2</v>
      </c>
      <c r="V58" s="9"/>
      <c r="W58" s="11"/>
      <c r="X58" s="11"/>
    </row>
    <row r="59" spans="10:24" x14ac:dyDescent="0.2">
      <c r="J59" s="1">
        <v>2.5999999999999999E-2</v>
      </c>
      <c r="K59">
        <v>1002</v>
      </c>
      <c r="L59">
        <v>0.73399999999999999</v>
      </c>
      <c r="M59" s="2">
        <v>2.4799999999999999E-2</v>
      </c>
      <c r="N59" s="2">
        <v>2.8799999999999999E-2</v>
      </c>
      <c r="R59" s="9">
        <v>1.4999999999999999E-2</v>
      </c>
      <c r="S59" s="10">
        <v>1.5900000000000001E-2</v>
      </c>
      <c r="T59" s="10">
        <v>1.8499999999999999E-2</v>
      </c>
      <c r="V59" s="9">
        <v>1.9E-2</v>
      </c>
      <c r="W59" s="11">
        <v>2.4799999999999999E-2</v>
      </c>
      <c r="X59" s="11">
        <v>2.5000000000000001E-2</v>
      </c>
    </row>
    <row r="60" spans="10:24" x14ac:dyDescent="0.2">
      <c r="J60" s="1">
        <v>8.0000000000000002E-3</v>
      </c>
      <c r="K60">
        <v>1037</v>
      </c>
      <c r="L60" s="1">
        <v>0.76</v>
      </c>
      <c r="M60" s="2">
        <v>9.7000000000000003E-3</v>
      </c>
      <c r="N60" s="2">
        <v>1.0500000000000001E-2</v>
      </c>
      <c r="R60" s="9">
        <v>1.9E-2</v>
      </c>
      <c r="S60" s="10">
        <v>2.01E-2</v>
      </c>
      <c r="T60" s="10">
        <v>2.3400000000000001E-2</v>
      </c>
      <c r="V60" s="9"/>
      <c r="W60" s="11"/>
      <c r="X60" s="11"/>
    </row>
    <row r="61" spans="10:24" x14ac:dyDescent="0.2">
      <c r="J61" s="1">
        <v>1.4E-2</v>
      </c>
      <c r="K61">
        <v>1025</v>
      </c>
      <c r="L61">
        <v>0.751</v>
      </c>
      <c r="M61" s="2">
        <v>1.49E-2</v>
      </c>
      <c r="N61" s="2">
        <v>1.6799999999999999E-2</v>
      </c>
      <c r="R61" s="9">
        <v>0.02</v>
      </c>
      <c r="S61" s="10">
        <v>2.1899999999999999E-2</v>
      </c>
      <c r="T61" s="10">
        <v>2.5499999999999998E-2</v>
      </c>
      <c r="V61" s="9"/>
      <c r="W61" s="11"/>
      <c r="X61" s="11"/>
    </row>
    <row r="62" spans="10:24" x14ac:dyDescent="0.2">
      <c r="J62" s="1">
        <v>0.10100000000000001</v>
      </c>
      <c r="K62">
        <v>874</v>
      </c>
      <c r="L62" s="1">
        <v>0.64</v>
      </c>
      <c r="M62" s="2">
        <v>8.4000000000000005E-2</v>
      </c>
      <c r="N62" s="2">
        <v>0.1008</v>
      </c>
      <c r="R62" s="9">
        <v>2.5000000000000001E-2</v>
      </c>
      <c r="S62" s="10">
        <v>2.46E-2</v>
      </c>
      <c r="T62" s="10">
        <v>2.87E-2</v>
      </c>
      <c r="V62" s="9">
        <v>2.8000000000000001E-2</v>
      </c>
      <c r="W62" s="12">
        <v>3.1899999999999998E-2</v>
      </c>
      <c r="X62" s="12">
        <v>3.4099999999999998E-2</v>
      </c>
    </row>
    <row r="63" spans="10:24" x14ac:dyDescent="0.2">
      <c r="R63" s="9">
        <v>2.3E-2</v>
      </c>
      <c r="S63" s="10">
        <v>4.8000000000000001E-2</v>
      </c>
      <c r="T63" s="10">
        <v>2.8899999999999999E-2</v>
      </c>
      <c r="V63" s="9">
        <v>2.7E-2</v>
      </c>
      <c r="W63" s="11">
        <v>3.2599999999999997E-2</v>
      </c>
      <c r="X63" s="11">
        <v>3.5000000000000003E-2</v>
      </c>
    </row>
    <row r="64" spans="10:24" x14ac:dyDescent="0.2">
      <c r="R64" s="9"/>
      <c r="S64" s="10"/>
      <c r="T64" s="10"/>
      <c r="V64" s="9"/>
      <c r="W64" s="11"/>
      <c r="X64" s="11"/>
    </row>
    <row r="65" spans="18:24" x14ac:dyDescent="0.2">
      <c r="R65" s="5"/>
      <c r="S65" s="10"/>
      <c r="T65" s="10"/>
      <c r="V65" s="9">
        <v>2.5999999999999999E-2</v>
      </c>
      <c r="W65" s="11">
        <v>2.6100000000000002E-2</v>
      </c>
      <c r="X65" s="11">
        <v>2.6700000000000002E-2</v>
      </c>
    </row>
    <row r="66" spans="18:24" x14ac:dyDescent="0.2">
      <c r="R66" s="5"/>
      <c r="S66" s="10"/>
      <c r="T66" s="10"/>
      <c r="V66" s="9"/>
      <c r="W66" s="11"/>
      <c r="X66" s="11"/>
    </row>
    <row r="67" spans="18:24" x14ac:dyDescent="0.2">
      <c r="R67" s="5"/>
      <c r="S67" s="10"/>
      <c r="T67" s="10"/>
      <c r="V67" s="9">
        <v>3.2000000000000001E-2</v>
      </c>
      <c r="W67" s="11">
        <v>3.2800000000000003E-2</v>
      </c>
      <c r="X67" s="11">
        <v>3.5299999999999998E-2</v>
      </c>
    </row>
    <row r="68" spans="18:24" x14ac:dyDescent="0.2">
      <c r="R68" s="9"/>
      <c r="S68" s="10"/>
      <c r="T68" s="10"/>
      <c r="V68" s="13"/>
      <c r="W68" s="11"/>
      <c r="X68" s="11"/>
    </row>
    <row r="69" spans="18:24" x14ac:dyDescent="0.2">
      <c r="R69" s="9">
        <v>4.5999999999999999E-2</v>
      </c>
      <c r="S69" s="10">
        <v>3.9600000000000003E-2</v>
      </c>
      <c r="T69" s="10">
        <v>4.6100000000000002E-2</v>
      </c>
      <c r="V69" s="13"/>
      <c r="W69" s="13"/>
      <c r="X69" s="13"/>
    </row>
    <row r="70" spans="18:24" x14ac:dyDescent="0.2">
      <c r="R70" s="9">
        <v>4.4999999999999998E-2</v>
      </c>
      <c r="S70" s="10">
        <v>4.3099999999999999E-2</v>
      </c>
      <c r="T70" s="10">
        <v>5.0299999999999997E-2</v>
      </c>
      <c r="V70" s="9">
        <v>5.0999999999999997E-2</v>
      </c>
      <c r="W70" s="11">
        <v>5.1900000000000002E-2</v>
      </c>
      <c r="X70" s="11">
        <v>5.9799999999999999E-2</v>
      </c>
    </row>
    <row r="71" spans="18:24" x14ac:dyDescent="0.2">
      <c r="R71" s="9"/>
      <c r="S71" s="10"/>
      <c r="T71" s="10"/>
      <c r="V71" s="13"/>
      <c r="W71" s="11"/>
      <c r="X71" s="11"/>
    </row>
    <row r="72" spans="18:24" x14ac:dyDescent="0.2">
      <c r="R72" s="5"/>
      <c r="S72" s="10"/>
      <c r="T72" s="10"/>
      <c r="V72" s="13"/>
      <c r="W72" s="11"/>
      <c r="X72" s="11"/>
    </row>
    <row r="73" spans="18:24" x14ac:dyDescent="0.2">
      <c r="R73" s="5"/>
      <c r="S73" s="10"/>
      <c r="T73" s="10"/>
      <c r="V73" s="13"/>
      <c r="W73" s="11"/>
      <c r="X73" s="11"/>
    </row>
    <row r="74" spans="18:24" x14ac:dyDescent="0.2">
      <c r="R74" s="5"/>
      <c r="S74" s="10"/>
      <c r="T74" s="10"/>
      <c r="V74" s="13"/>
      <c r="W74" s="11"/>
      <c r="X74" s="11"/>
    </row>
    <row r="75" spans="18:24" x14ac:dyDescent="0.2">
      <c r="R75" s="5"/>
      <c r="S75" s="14"/>
      <c r="T75" s="14"/>
      <c r="V75" s="5">
        <v>3.7999999999999999E-2</v>
      </c>
      <c r="W75" s="11">
        <v>3.1899999999999998E-2</v>
      </c>
      <c r="X75" s="11">
        <v>3.4099999999999998E-2</v>
      </c>
    </row>
    <row r="76" spans="18:24" x14ac:dyDescent="0.2">
      <c r="R76" s="5"/>
      <c r="S76" s="14"/>
      <c r="T76" s="14"/>
      <c r="V76" s="5"/>
      <c r="W76" s="13"/>
      <c r="X76" s="13"/>
    </row>
    <row r="77" spans="18:24" x14ac:dyDescent="0.2">
      <c r="R77" s="5"/>
      <c r="S77" s="14"/>
      <c r="T77" s="14"/>
      <c r="V77" s="5">
        <v>3.4000000000000002E-2</v>
      </c>
      <c r="W77" s="11">
        <v>3.32E-2</v>
      </c>
      <c r="X77" s="11">
        <v>3.5799999999999998E-2</v>
      </c>
    </row>
    <row r="78" spans="18:24" x14ac:dyDescent="0.2">
      <c r="R78" s="5"/>
      <c r="S78" s="14"/>
      <c r="T78" s="14"/>
      <c r="V78" s="5"/>
      <c r="W78" s="11"/>
      <c r="X78" s="11"/>
    </row>
    <row r="79" spans="18:24" x14ac:dyDescent="0.2">
      <c r="R79" s="5"/>
      <c r="S79" s="14"/>
      <c r="T79" s="14"/>
      <c r="V79" s="9">
        <v>0.04</v>
      </c>
      <c r="W79" s="11">
        <v>3.7100000000000001E-2</v>
      </c>
      <c r="X79" s="11">
        <v>4.07E-2</v>
      </c>
    </row>
    <row r="80" spans="18:24" x14ac:dyDescent="0.2">
      <c r="R80" s="5"/>
      <c r="S80" s="14"/>
      <c r="T80" s="14"/>
      <c r="V80" s="5"/>
      <c r="W80" s="11"/>
      <c r="X80" s="11"/>
    </row>
    <row r="81" spans="18:24" x14ac:dyDescent="0.2">
      <c r="R81" s="5"/>
      <c r="S81" s="14"/>
      <c r="T81" s="14"/>
      <c r="V81" s="5">
        <v>4.2000000000000003E-2</v>
      </c>
      <c r="W81" s="11">
        <v>4.0599999999999997E-2</v>
      </c>
      <c r="X81" s="11">
        <v>4.53E-2</v>
      </c>
    </row>
    <row r="82" spans="18:24" x14ac:dyDescent="0.2">
      <c r="R82" s="5"/>
      <c r="S82" s="14"/>
      <c r="T82" s="14"/>
      <c r="V82" s="5"/>
      <c r="W82" s="11"/>
      <c r="X82" s="11"/>
    </row>
    <row r="83" spans="18:24" x14ac:dyDescent="0.2">
      <c r="R83" s="5"/>
      <c r="S83" s="14"/>
      <c r="T83" s="14"/>
      <c r="V83" s="5">
        <v>5.8000000000000003E-2</v>
      </c>
      <c r="W83" s="11">
        <v>5.5E-2</v>
      </c>
      <c r="X83" s="11">
        <v>6.3799999999999996E-2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Kearns</dc:creator>
  <cp:lastModifiedBy>Josh Kearns</cp:lastModifiedBy>
  <dcterms:created xsi:type="dcterms:W3CDTF">2026-08-09T20:53:40Z</dcterms:created>
  <dcterms:modified xsi:type="dcterms:W3CDTF">2026-08-12T17:11:29Z</dcterms:modified>
</cp:coreProperties>
</file>