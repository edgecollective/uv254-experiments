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<sst xmlns="http://schemas.openxmlformats.org/spreadsheetml/2006/main" count="33" uniqueCount="16">
  <si>
    <t>trial 3</t>
  </si>
  <si>
    <t>trial 4</t>
  </si>
  <si>
    <t>trial 1</t>
  </si>
  <si>
    <t>Firmware Ver 4.0 (?) trial</t>
  </si>
  <si>
    <t>Ver 4.0 firmware with the 0.1 fluorescein std measured as a sample</t>
  </si>
  <si>
    <t>Firmware Ver 5.0 trial - no 0.100 cm-1 calibration point, need to manually calibrate</t>
  </si>
  <si>
    <t>Bottle #</t>
  </si>
  <si>
    <t>Real Tech</t>
  </si>
  <si>
    <t>DIY</t>
  </si>
  <si>
    <t>trans.</t>
  </si>
  <si>
    <t>V</t>
  </si>
  <si>
    <t>abs</t>
  </si>
  <si>
    <t>avg</t>
  </si>
  <si>
    <t>DI blank</t>
  </si>
  <si>
    <t>trial 2</t>
  </si>
  <si>
    <t>Firmware Ver 6.0  trial - with 0.100 cm-1 fluorescein standard calibration 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</si>
</sst>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0"/>
  </numFmts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56"/>
  </cols>
  <sheetData>
    <row r="1" ht="15.75" customHeight="1"/>
    <row r="2" ht="15.75" customHeight="1">
      <c r="J2" s="1" t="s">
        <v>0</v>
      </c>
      <c r="R2" s="1" t="s">
        <v>1</v>
      </c>
    </row>
    <row r="3" ht="15.75" customHeight="1">
      <c r="B3" s="1" t="s">
        <v>2</v>
      </c>
      <c r="J3" s="2" t="s">
        <v>3</v>
      </c>
      <c r="R3" s="2" t="s">
        <v>4</v>
      </c>
    </row>
    <row r="4" ht="15.75" customHeight="1">
      <c r="B4" s="2" t="s">
        <v>5</v>
      </c>
      <c r="K4" s="2" t="s">
        <v>6</v>
      </c>
      <c r="L4" s="3" t="s">
        <v>7</v>
      </c>
      <c r="M4" s="2" t="s">
        <v>8</v>
      </c>
      <c r="N4" s="3"/>
      <c r="R4" s="3" t="s">
        <v>7</v>
      </c>
      <c r="S4" s="2" t="s">
        <v>8</v>
      </c>
      <c r="T4" s="3"/>
    </row>
    <row r="5" ht="15.75" customHeight="1">
      <c r="B5" s="3" t="s">
        <v>7</v>
      </c>
      <c r="C5" s="2" t="s">
        <v>8</v>
      </c>
      <c r="D5" s="3"/>
      <c r="L5" s="3"/>
      <c r="M5" s="2" t="s">
        <v>9</v>
      </c>
      <c r="N5" s="3" t="s">
        <v>10</v>
      </c>
      <c r="O5" s="2" t="s">
        <v>11</v>
      </c>
      <c r="R5" s="3"/>
      <c r="S5" s="2" t="s">
        <v>9</v>
      </c>
      <c r="T5" s="3" t="s">
        <v>10</v>
      </c>
      <c r="U5" s="2" t="s">
        <v>11</v>
      </c>
      <c r="V5" s="3" t="s">
        <v>12</v>
      </c>
    </row>
    <row r="6" ht="15.75" customHeight="1">
      <c r="B6" s="3"/>
      <c r="C6" s="2" t="s">
        <v>9</v>
      </c>
      <c r="D6" s="3" t="s">
        <v>10</v>
      </c>
      <c r="E6" s="2" t="s">
        <v>11</v>
      </c>
      <c r="F6" s="3" t="s">
        <v>12</v>
      </c>
      <c r="J6" s="2" t="s">
        <v>13</v>
      </c>
      <c r="K6" s="2">
        <v>0.0</v>
      </c>
      <c r="L6" s="3">
        <v>0.0</v>
      </c>
      <c r="M6" s="2">
        <v>1009.0</v>
      </c>
      <c r="N6" s="3">
        <v>0.739</v>
      </c>
      <c r="R6" s="2">
        <v>0.101</v>
      </c>
      <c r="S6" s="2">
        <v>854.0</v>
      </c>
      <c r="T6" s="2">
        <v>0.626</v>
      </c>
      <c r="U6" s="2">
        <v>0.0818</v>
      </c>
      <c r="V6" s="4">
        <f>AVERAGE(U6:U7)</f>
        <v>0.0827</v>
      </c>
    </row>
    <row r="7" ht="15.75" customHeight="1">
      <c r="B7" s="3">
        <v>0.0</v>
      </c>
      <c r="D7" s="3"/>
      <c r="E7" s="4">
        <v>0.0</v>
      </c>
      <c r="L7" s="3">
        <v>0.002</v>
      </c>
      <c r="M7" s="2">
        <v>1006.0</v>
      </c>
      <c r="N7" s="3">
        <v>0.737</v>
      </c>
      <c r="O7" s="2">
        <v>0.0013</v>
      </c>
      <c r="S7" s="2">
        <v>851.0</v>
      </c>
      <c r="T7" s="2">
        <v>0.623</v>
      </c>
      <c r="U7" s="2">
        <v>0.0836</v>
      </c>
    </row>
    <row r="8" ht="15.75" customHeight="1">
      <c r="B8" s="2">
        <v>0.101</v>
      </c>
      <c r="C8" s="2">
        <v>823.0</v>
      </c>
      <c r="D8" s="2">
        <v>0.603</v>
      </c>
      <c r="E8" s="2">
        <v>0.0854</v>
      </c>
      <c r="F8" s="3">
        <f>AVERAGE(E8:E9)</f>
        <v>0.08475</v>
      </c>
      <c r="L8" s="3">
        <f>L7</f>
        <v>0.002</v>
      </c>
      <c r="M8" s="5">
        <v>1006.0</v>
      </c>
      <c r="N8" s="2">
        <v>0.737</v>
      </c>
      <c r="O8" s="4">
        <v>0.0012</v>
      </c>
      <c r="R8" s="2">
        <v>0.017</v>
      </c>
      <c r="S8" s="2">
        <v>993.0</v>
      </c>
      <c r="T8" s="2">
        <v>0.727</v>
      </c>
      <c r="U8" s="2">
        <v>0.0167</v>
      </c>
      <c r="V8" s="4">
        <f>AVERAGE(U8:U9)</f>
        <v>0.0172</v>
      </c>
    </row>
    <row r="9" ht="15.75" customHeight="1">
      <c r="C9" s="2">
        <v>825.0</v>
      </c>
      <c r="D9" s="2">
        <v>0.605</v>
      </c>
      <c r="E9" s="2">
        <v>0.0841</v>
      </c>
      <c r="K9" s="2">
        <v>1.0</v>
      </c>
      <c r="L9" s="3">
        <v>0.019</v>
      </c>
      <c r="M9" s="2">
        <v>965.0</v>
      </c>
      <c r="N9" s="3">
        <v>0.707</v>
      </c>
      <c r="O9" s="2">
        <v>0.0193</v>
      </c>
      <c r="S9" s="2">
        <v>990.0</v>
      </c>
      <c r="T9" s="2">
        <v>0.725</v>
      </c>
      <c r="U9" s="2">
        <v>0.0177</v>
      </c>
    </row>
    <row r="10" ht="15.75" customHeight="1">
      <c r="B10" s="2">
        <v>0.039</v>
      </c>
      <c r="C10" s="2">
        <v>925.0</v>
      </c>
      <c r="D10" s="2">
        <v>0.677</v>
      </c>
      <c r="E10" s="2">
        <v>0.0348</v>
      </c>
      <c r="F10" s="3">
        <f>AVERAGE(E10:E11)</f>
        <v>0.0345</v>
      </c>
      <c r="L10" s="3">
        <v>0.022</v>
      </c>
      <c r="M10" s="2">
        <v>965.0</v>
      </c>
      <c r="N10" s="3">
        <v>0.707</v>
      </c>
      <c r="O10" s="2">
        <v>0.0196</v>
      </c>
      <c r="R10" s="2">
        <v>0.013</v>
      </c>
      <c r="S10" s="2">
        <v>996.0</v>
      </c>
      <c r="T10" s="2">
        <v>0.73</v>
      </c>
      <c r="U10" s="2">
        <v>0.0152</v>
      </c>
      <c r="V10" s="4">
        <f>AVERAGE(U10:U11)</f>
        <v>0.01505</v>
      </c>
    </row>
    <row r="11" ht="15.75" customHeight="1">
      <c r="C11" s="2">
        <v>926.0</v>
      </c>
      <c r="D11" s="2">
        <v>0.678</v>
      </c>
      <c r="E11" s="2">
        <v>0.0342</v>
      </c>
      <c r="L11" s="3">
        <f>L10</f>
        <v>0.022</v>
      </c>
      <c r="M11" s="2">
        <v>964.0</v>
      </c>
      <c r="N11" s="3">
        <v>0.706</v>
      </c>
      <c r="O11" s="2">
        <v>0.0198</v>
      </c>
      <c r="S11" s="2">
        <v>997.0</v>
      </c>
      <c r="T11" s="2">
        <v>0.73</v>
      </c>
      <c r="U11" s="2">
        <v>0.0149</v>
      </c>
    </row>
    <row r="12" ht="15.75" customHeight="1">
      <c r="B12" s="2">
        <v>0.014</v>
      </c>
      <c r="C12" s="2">
        <v>974.0</v>
      </c>
      <c r="D12" s="2">
        <v>0.714</v>
      </c>
      <c r="E12" s="2">
        <v>0.0122</v>
      </c>
      <c r="F12" s="3">
        <f>AVERAGE(E12:E13)</f>
        <v>0.0122</v>
      </c>
      <c r="K12" s="2">
        <v>2.0</v>
      </c>
      <c r="L12" s="3">
        <v>0.028</v>
      </c>
      <c r="N12" s="3"/>
      <c r="O12" s="2">
        <v>0.0276</v>
      </c>
      <c r="R12" s="2">
        <v>0.115</v>
      </c>
      <c r="S12" s="2">
        <v>844.0</v>
      </c>
      <c r="T12" s="2">
        <v>0.618</v>
      </c>
      <c r="U12" s="2">
        <v>0.0873</v>
      </c>
      <c r="V12" s="4">
        <f>AVERAGE(U12:U13)</f>
        <v>0.0876</v>
      </c>
    </row>
    <row r="13" ht="15.75" customHeight="1">
      <c r="C13" s="2">
        <v>974.0</v>
      </c>
      <c r="D13" s="2">
        <v>0.714</v>
      </c>
      <c r="E13" s="2">
        <v>0.0122</v>
      </c>
      <c r="L13" s="3">
        <v>0.032</v>
      </c>
      <c r="M13" s="2">
        <v>949.0</v>
      </c>
      <c r="N13" s="3">
        <v>0.695</v>
      </c>
      <c r="O13" s="2">
        <v>0.0267</v>
      </c>
      <c r="S13" s="2">
        <v>842.0</v>
      </c>
      <c r="T13" s="2">
        <v>0.617</v>
      </c>
      <c r="U13" s="2">
        <v>0.0879</v>
      </c>
    </row>
    <row r="14" ht="15.75" customHeight="1">
      <c r="B14" s="2">
        <v>0.056</v>
      </c>
      <c r="C14" s="2">
        <v>902.0</v>
      </c>
      <c r="D14" s="2">
        <v>0.661</v>
      </c>
      <c r="E14" s="2">
        <v>0.0453</v>
      </c>
      <c r="F14" s="3">
        <f>AVERAGE(E14:E15)</f>
        <v>0.04465</v>
      </c>
      <c r="L14" s="3">
        <f>L13</f>
        <v>0.032</v>
      </c>
      <c r="M14" s="2">
        <v>945.0</v>
      </c>
      <c r="N14" s="3">
        <v>0.692</v>
      </c>
      <c r="O14" s="2">
        <v>0.0286</v>
      </c>
      <c r="R14" s="2">
        <v>0.028</v>
      </c>
      <c r="S14" s="2">
        <v>965.0</v>
      </c>
      <c r="T14" s="2">
        <v>0.707</v>
      </c>
      <c r="U14" s="2">
        <v>0.029</v>
      </c>
      <c r="V14" s="4">
        <f>AVERAGE(U14:U15)</f>
        <v>0.02825</v>
      </c>
    </row>
    <row r="15" ht="15.75" customHeight="1">
      <c r="C15" s="2">
        <v>905.0</v>
      </c>
      <c r="D15" s="2">
        <v>0.663</v>
      </c>
      <c r="E15" s="2">
        <v>0.044</v>
      </c>
      <c r="K15" s="2">
        <v>3.0</v>
      </c>
      <c r="L15" s="3">
        <v>0.05</v>
      </c>
      <c r="M15" s="2">
        <v>910.0</v>
      </c>
      <c r="N15" s="3">
        <v>0.667</v>
      </c>
      <c r="O15" s="2">
        <v>0.0447</v>
      </c>
      <c r="S15" s="2">
        <v>968.0</v>
      </c>
      <c r="T15" s="2">
        <v>0.709</v>
      </c>
      <c r="U15" s="2">
        <v>0.0275</v>
      </c>
    </row>
    <row r="16" ht="15.75" customHeight="1">
      <c r="B16" s="2">
        <v>0.036</v>
      </c>
      <c r="C16" s="2">
        <v>937.0</v>
      </c>
      <c r="D16" s="2">
        <v>0.686</v>
      </c>
      <c r="E16" s="2">
        <v>0.0291</v>
      </c>
      <c r="F16" s="3">
        <f>AVERAGE(E16:E17)</f>
        <v>0.0291</v>
      </c>
      <c r="L16" s="3">
        <f>L15</f>
        <v>0.05</v>
      </c>
      <c r="N16" s="3"/>
      <c r="O16" s="2">
        <v>0.0464</v>
      </c>
      <c r="R16" s="2">
        <v>0.091</v>
      </c>
      <c r="S16" s="2">
        <v>882.0</v>
      </c>
      <c r="T16" s="2">
        <v>0.646</v>
      </c>
      <c r="U16" s="2">
        <v>0.0682</v>
      </c>
      <c r="V16" s="4">
        <f>AVERAGE(U16:U17)</f>
        <v>0.0671</v>
      </c>
    </row>
    <row r="17" ht="15.75" customHeight="1">
      <c r="C17" s="2">
        <v>937.0</v>
      </c>
      <c r="D17" s="2">
        <v>0.686</v>
      </c>
      <c r="E17" s="2">
        <v>0.0291</v>
      </c>
      <c r="L17" s="3">
        <v>0.057</v>
      </c>
      <c r="M17" s="2">
        <v>907.0</v>
      </c>
      <c r="N17" s="3">
        <v>0.665</v>
      </c>
      <c r="O17" s="2">
        <v>0.0462</v>
      </c>
      <c r="S17" s="2">
        <v>886.0</v>
      </c>
      <c r="T17" s="2">
        <v>0.649</v>
      </c>
      <c r="U17" s="2">
        <v>0.066</v>
      </c>
    </row>
    <row r="18" ht="15.75" customHeight="1">
      <c r="B18" s="2">
        <v>0.034</v>
      </c>
      <c r="C18" s="2">
        <v>940.0</v>
      </c>
      <c r="D18" s="2">
        <v>0.689</v>
      </c>
      <c r="E18" s="2">
        <v>0.0277</v>
      </c>
      <c r="F18" s="3">
        <f>AVERAGE(E18:E19)</f>
        <v>0.02795</v>
      </c>
      <c r="L18" s="3">
        <f>L17</f>
        <v>0.057</v>
      </c>
      <c r="M18" s="2">
        <v>904.0</v>
      </c>
      <c r="N18" s="3">
        <v>0.662</v>
      </c>
      <c r="O18" s="2">
        <v>0.048</v>
      </c>
      <c r="R18" s="3">
        <v>0.04</v>
      </c>
      <c r="S18" s="2">
        <v>949.0</v>
      </c>
      <c r="T18" s="2">
        <v>0.695</v>
      </c>
      <c r="U18" s="2">
        <v>0.0363</v>
      </c>
      <c r="V18" s="4">
        <f>AVERAGE(U18:U19)</f>
        <v>0.03655</v>
      </c>
    </row>
    <row r="19" ht="15.75" customHeight="1">
      <c r="C19" s="2">
        <v>939.0</v>
      </c>
      <c r="D19" s="2">
        <v>0.688</v>
      </c>
      <c r="E19" s="2">
        <v>0.0282</v>
      </c>
      <c r="K19" s="2">
        <v>4.0</v>
      </c>
      <c r="L19" s="3">
        <v>0.009</v>
      </c>
      <c r="M19" s="2">
        <v>984.0</v>
      </c>
      <c r="N19" s="3">
        <v>0.721</v>
      </c>
      <c r="O19" s="2">
        <v>0.0111</v>
      </c>
      <c r="S19" s="2">
        <v>948.0</v>
      </c>
      <c r="T19" s="2">
        <v>0.694</v>
      </c>
      <c r="U19" s="2">
        <v>0.0368</v>
      </c>
    </row>
    <row r="20" ht="15.75" customHeight="1">
      <c r="B20" s="2">
        <v>0.024</v>
      </c>
      <c r="C20" s="2">
        <v>959.0</v>
      </c>
      <c r="D20" s="2">
        <v>0.702</v>
      </c>
      <c r="E20" s="2">
        <v>0.019</v>
      </c>
      <c r="F20" s="3">
        <f>AVERAGE(E20:E21)</f>
        <v>0.0184</v>
      </c>
      <c r="L20" s="3">
        <v>0.012</v>
      </c>
      <c r="M20" s="2">
        <v>985.0</v>
      </c>
      <c r="N20" s="3">
        <v>0.722</v>
      </c>
      <c r="O20" s="2">
        <v>0.0106</v>
      </c>
      <c r="R20" s="2">
        <v>0.038</v>
      </c>
      <c r="S20" s="2">
        <v>955.0</v>
      </c>
      <c r="T20" s="2">
        <v>0.699</v>
      </c>
      <c r="U20" s="2">
        <v>0.0337</v>
      </c>
      <c r="V20" s="4">
        <f>AVERAGE(U20:U21)</f>
        <v>0.03295</v>
      </c>
    </row>
    <row r="21" ht="15.75" customHeight="1">
      <c r="C21" s="2">
        <v>962.0</v>
      </c>
      <c r="D21" s="2">
        <v>0.704</v>
      </c>
      <c r="E21" s="2">
        <v>0.0178</v>
      </c>
      <c r="L21" s="3">
        <f>L20</f>
        <v>0.012</v>
      </c>
      <c r="M21" s="2">
        <v>983.0</v>
      </c>
      <c r="N21" s="3">
        <v>0.72</v>
      </c>
      <c r="O21" s="2">
        <v>0.0112</v>
      </c>
      <c r="S21" s="2">
        <v>958.0</v>
      </c>
      <c r="T21" s="2">
        <v>0.702</v>
      </c>
      <c r="U21" s="2">
        <v>0.0322</v>
      </c>
    </row>
    <row r="22" ht="15.75" customHeight="1">
      <c r="B22" s="2">
        <v>-0.001</v>
      </c>
      <c r="C22" s="2">
        <v>1014.0</v>
      </c>
      <c r="D22" s="2">
        <v>0.743</v>
      </c>
      <c r="E22" s="2">
        <v>-0.0054</v>
      </c>
      <c r="F22" s="3">
        <f>AVERAGE(E22:E23)</f>
        <v>-0.00475</v>
      </c>
      <c r="K22" s="2">
        <v>5.0</v>
      </c>
      <c r="L22" s="3">
        <v>0.001</v>
      </c>
      <c r="M22" s="2">
        <v>1002.0</v>
      </c>
      <c r="N22" s="3">
        <v>0.734</v>
      </c>
      <c r="O22" s="2">
        <v>0.0033</v>
      </c>
    </row>
    <row r="23" ht="15.75" customHeight="1">
      <c r="C23" s="2">
        <v>1011.0</v>
      </c>
      <c r="D23" s="2">
        <v>0.741</v>
      </c>
      <c r="E23" s="2">
        <v>-0.0041</v>
      </c>
      <c r="K23" s="2">
        <v>6.0</v>
      </c>
      <c r="L23" s="3">
        <v>0.041</v>
      </c>
      <c r="M23" s="2">
        <v>930.0</v>
      </c>
      <c r="N23" s="3">
        <v>0.681</v>
      </c>
      <c r="O23" s="2">
        <v>0.0356</v>
      </c>
    </row>
    <row r="24" ht="15.75" customHeight="1">
      <c r="F24" s="6"/>
      <c r="L24" s="3">
        <v>0.047</v>
      </c>
      <c r="M24" s="2">
        <v>927.0</v>
      </c>
      <c r="N24" s="3">
        <v>0.679</v>
      </c>
      <c r="O24" s="2">
        <v>0.037</v>
      </c>
    </row>
    <row r="25" ht="15.75" customHeight="1">
      <c r="B25" s="1" t="s">
        <v>14</v>
      </c>
      <c r="L25" s="3">
        <f>L24</f>
        <v>0.047</v>
      </c>
      <c r="M25" s="2">
        <v>925.0</v>
      </c>
      <c r="N25" s="3">
        <v>0.667</v>
      </c>
      <c r="O25" s="2">
        <v>0.038</v>
      </c>
    </row>
    <row r="26" ht="15.75" customHeight="1">
      <c r="B26" s="2" t="s">
        <v>15</v>
      </c>
      <c r="K26" s="2">
        <v>7.0</v>
      </c>
      <c r="L26" s="3">
        <v>0.002</v>
      </c>
      <c r="M26" s="2">
        <v>996.0</v>
      </c>
      <c r="N26" s="3">
        <v>0.73</v>
      </c>
      <c r="O26" s="2">
        <v>0.0057</v>
      </c>
    </row>
    <row r="27" ht="15.75" customHeight="1">
      <c r="B27" s="3" t="s">
        <v>7</v>
      </c>
      <c r="C27" s="2" t="s">
        <v>8</v>
      </c>
      <c r="D27" s="3"/>
      <c r="K27" s="2">
        <v>8.0</v>
      </c>
      <c r="L27" s="3">
        <v>0.005</v>
      </c>
      <c r="M27" s="2">
        <v>995.0</v>
      </c>
      <c r="N27" s="3">
        <v>0.729</v>
      </c>
      <c r="O27" s="2">
        <v>0.0063</v>
      </c>
    </row>
    <row r="28" ht="15.75" customHeight="1">
      <c r="B28" s="3"/>
      <c r="C28" s="2" t="s">
        <v>9</v>
      </c>
      <c r="D28" s="3" t="s">
        <v>10</v>
      </c>
      <c r="E28" s="2" t="s">
        <v>11</v>
      </c>
      <c r="F28" s="3" t="s">
        <v>12</v>
      </c>
      <c r="K28" s="2">
        <v>9.0</v>
      </c>
      <c r="L28" s="3">
        <v>0.063</v>
      </c>
      <c r="M28" s="2">
        <v>897.0</v>
      </c>
      <c r="N28" s="3">
        <v>0.657</v>
      </c>
      <c r="O28" s="2">
        <v>0.0513</v>
      </c>
    </row>
    <row r="29" ht="15.75" customHeight="1">
      <c r="B29" s="3">
        <v>0.07</v>
      </c>
      <c r="C29" s="2">
        <v>892.0</v>
      </c>
      <c r="D29" s="3">
        <v>0.653</v>
      </c>
      <c r="E29" s="4">
        <v>0.0742</v>
      </c>
      <c r="F29" s="4">
        <f>AVERAGE(E29:E30)</f>
        <v>0.07345</v>
      </c>
      <c r="L29" s="3">
        <v>0.062</v>
      </c>
      <c r="M29" s="2">
        <v>899.0</v>
      </c>
      <c r="N29" s="3">
        <v>0.659</v>
      </c>
      <c r="O29" s="2">
        <v>0.0502</v>
      </c>
    </row>
    <row r="30" ht="15.75" customHeight="1">
      <c r="C30" s="2">
        <v>895.0</v>
      </c>
      <c r="D30" s="2">
        <v>0.655</v>
      </c>
      <c r="E30" s="2">
        <v>0.0727</v>
      </c>
      <c r="L30" s="3">
        <f>L29</f>
        <v>0.062</v>
      </c>
      <c r="M30" s="2">
        <v>899.0</v>
      </c>
      <c r="N30" s="3">
        <v>0.659</v>
      </c>
      <c r="O30" s="2">
        <v>0.0502</v>
      </c>
    </row>
    <row r="31" ht="15.75" customHeight="1">
      <c r="B31" s="2">
        <v>0.016</v>
      </c>
      <c r="C31" s="2">
        <v>978.0</v>
      </c>
      <c r="D31" s="2">
        <v>0.716</v>
      </c>
      <c r="E31" s="2">
        <v>0.0274</v>
      </c>
      <c r="F31" s="4">
        <f>AVERAGE(E31:E32)</f>
        <v>0.02735</v>
      </c>
      <c r="K31" s="2">
        <v>10.0</v>
      </c>
      <c r="L31" s="3">
        <v>0.076</v>
      </c>
      <c r="M31" s="2">
        <v>880.0</v>
      </c>
      <c r="N31" s="3">
        <v>0.654</v>
      </c>
      <c r="O31" s="2">
        <v>0.0594</v>
      </c>
    </row>
    <row r="32" ht="15.75" customHeight="1">
      <c r="C32" s="2">
        <v>978.0</v>
      </c>
      <c r="D32" s="3">
        <v>0.717</v>
      </c>
      <c r="E32" s="2">
        <v>0.0273</v>
      </c>
      <c r="L32" s="3">
        <f>L31</f>
        <v>0.076</v>
      </c>
      <c r="M32" s="2">
        <v>881.0</v>
      </c>
      <c r="N32" s="3">
        <v>0.654</v>
      </c>
      <c r="O32" s="2">
        <v>0.0591</v>
      </c>
    </row>
    <row r="33" ht="15.75" customHeight="1">
      <c r="B33" s="2">
        <v>0.087</v>
      </c>
      <c r="C33" s="2">
        <v>880.0</v>
      </c>
      <c r="D33" s="3">
        <v>0.644</v>
      </c>
      <c r="E33" s="2">
        <v>0.0812</v>
      </c>
      <c r="F33" s="4">
        <f>AVERAGE(E33:E34)</f>
        <v>0.0805</v>
      </c>
      <c r="L33" s="3">
        <v>0.075</v>
      </c>
      <c r="M33" s="2">
        <v>885.0</v>
      </c>
      <c r="N33" s="3">
        <v>0.648</v>
      </c>
      <c r="O33" s="2">
        <v>0.0569</v>
      </c>
    </row>
    <row r="34" ht="15.75" customHeight="1">
      <c r="C34" s="2">
        <v>882.0</v>
      </c>
      <c r="D34" s="3">
        <v>0.646</v>
      </c>
      <c r="E34" s="2">
        <v>0.0798</v>
      </c>
      <c r="L34" s="3">
        <f>L33</f>
        <v>0.075</v>
      </c>
      <c r="M34" s="2">
        <v>882.0</v>
      </c>
      <c r="N34" s="3">
        <v>0.646</v>
      </c>
      <c r="O34" s="2">
        <v>0.0583</v>
      </c>
    </row>
    <row r="35" ht="15.75" customHeight="1">
      <c r="B35" s="2">
        <v>0.037</v>
      </c>
      <c r="C35" s="2">
        <v>947.0</v>
      </c>
      <c r="D35" s="3">
        <v>0.694</v>
      </c>
      <c r="E35" s="2">
        <v>0.0438</v>
      </c>
      <c r="F35" s="4">
        <f>AVERAGE(E35:E36)</f>
        <v>0.04385</v>
      </c>
      <c r="K35" s="2">
        <v>11.0</v>
      </c>
      <c r="L35" s="3">
        <v>0.054</v>
      </c>
      <c r="M35" s="2">
        <v>910.0</v>
      </c>
      <c r="N35" s="3">
        <v>0.667</v>
      </c>
      <c r="O35" s="2">
        <v>0.0449</v>
      </c>
    </row>
    <row r="36" ht="15.75" customHeight="1">
      <c r="C36" s="2">
        <v>947.0</v>
      </c>
      <c r="D36" s="3">
        <v>0.694</v>
      </c>
      <c r="E36" s="2">
        <v>0.0439</v>
      </c>
      <c r="L36" s="3">
        <f>L35</f>
        <v>0.054</v>
      </c>
      <c r="M36" s="2">
        <v>915.0</v>
      </c>
      <c r="N36" s="3">
        <v>0.67</v>
      </c>
      <c r="O36" s="2">
        <v>0.0427</v>
      </c>
    </row>
    <row r="37" ht="15.75" customHeight="1">
      <c r="B37" s="2">
        <v>0.032</v>
      </c>
      <c r="C37" s="2">
        <v>955.0</v>
      </c>
      <c r="D37" s="3">
        <v>0.699</v>
      </c>
      <c r="E37" s="2">
        <v>0.0397</v>
      </c>
      <c r="F37" s="4">
        <f>AVERAGE(E37:E38)</f>
        <v>0.03995</v>
      </c>
      <c r="L37" s="3">
        <v>0.052</v>
      </c>
      <c r="M37" s="2">
        <v>911.0</v>
      </c>
      <c r="N37" s="3">
        <v>0.668</v>
      </c>
      <c r="O37" s="2">
        <v>0.0443</v>
      </c>
    </row>
    <row r="38" ht="15.75" customHeight="1">
      <c r="C38" s="2">
        <v>954.0</v>
      </c>
      <c r="D38" s="3">
        <v>0.699</v>
      </c>
      <c r="E38" s="2">
        <v>0.0402</v>
      </c>
      <c r="L38" s="3">
        <f>L37</f>
        <v>0.052</v>
      </c>
      <c r="M38" s="2">
        <v>916.0</v>
      </c>
      <c r="N38" s="3">
        <v>0.671</v>
      </c>
      <c r="O38" s="2">
        <v>0.0418</v>
      </c>
    </row>
    <row r="39" ht="15.75" customHeight="1">
      <c r="B39" s="2">
        <v>0.026</v>
      </c>
      <c r="C39" s="2">
        <v>962.0</v>
      </c>
      <c r="D39" s="3">
        <v>0.705</v>
      </c>
      <c r="E39" s="2">
        <v>0.036</v>
      </c>
      <c r="F39" s="4">
        <f>AVERAGE(E39:E40)</f>
        <v>0.0369</v>
      </c>
    </row>
    <row r="40" ht="15.75" customHeight="1">
      <c r="C40" s="2">
        <v>958.0</v>
      </c>
      <c r="D40" s="3">
        <v>0.702</v>
      </c>
      <c r="E40" s="2">
        <v>0.0378</v>
      </c>
    </row>
    <row r="41" ht="15.75" customHeight="1">
      <c r="B41" s="2">
        <v>0.025</v>
      </c>
      <c r="C41" s="2">
        <v>966.0</v>
      </c>
      <c r="D41" s="3">
        <v>0.7</v>
      </c>
      <c r="E41" s="2">
        <v>0.0335</v>
      </c>
      <c r="F41" s="4">
        <f>AVERAGE(E41:E42)</f>
        <v>0.03285</v>
      </c>
    </row>
    <row r="42" ht="15.75" customHeight="1">
      <c r="C42" s="2">
        <v>969.0</v>
      </c>
      <c r="D42" s="3">
        <v>0.71</v>
      </c>
      <c r="E42" s="2">
        <v>0.0322</v>
      </c>
    </row>
    <row r="43" ht="15.75" customHeight="1">
      <c r="B43" s="2">
        <v>0.011</v>
      </c>
      <c r="C43" s="2">
        <v>994.0</v>
      </c>
      <c r="D43" s="3">
        <v>0.729</v>
      </c>
      <c r="E43" s="2">
        <v>0.019</v>
      </c>
      <c r="F43" s="4">
        <f>AVERAGE(E43:E44)</f>
        <v>0.01875</v>
      </c>
    </row>
    <row r="44" ht="15.75" customHeight="1">
      <c r="C44" s="2">
        <v>995.0</v>
      </c>
      <c r="D44" s="3">
        <v>0.729</v>
      </c>
      <c r="E44" s="2">
        <v>0.0185</v>
      </c>
    </row>
    <row r="45" ht="15.75" customHeight="1">
      <c r="B45" s="2">
        <v>0.039</v>
      </c>
      <c r="C45" s="2">
        <v>943.0</v>
      </c>
      <c r="D45" s="3">
        <v>0.691</v>
      </c>
      <c r="E45" s="2">
        <v>0.0458</v>
      </c>
      <c r="F45" s="4">
        <f>AVERAGE(E45:E46)</f>
        <v>0.04525</v>
      </c>
    </row>
    <row r="46" ht="15.75" customHeight="1">
      <c r="C46" s="2">
        <v>945.0</v>
      </c>
      <c r="D46" s="3">
        <v>0.692</v>
      </c>
      <c r="E46" s="2">
        <v>0.0447</v>
      </c>
    </row>
    <row r="47" ht="15.75" customHeight="1">
      <c r="B47" s="2">
        <v>0.102</v>
      </c>
      <c r="C47" s="2">
        <v>842.0</v>
      </c>
      <c r="D47" s="3">
        <v>0.617</v>
      </c>
      <c r="E47" s="2">
        <v>0.1032</v>
      </c>
      <c r="F47" s="4">
        <f>AVERAGE(E47:E48)</f>
        <v>0.10395</v>
      </c>
    </row>
    <row r="48" ht="15.75" customHeight="1">
      <c r="C48" s="2">
        <v>840.0</v>
      </c>
      <c r="D48" s="3">
        <v>0.615</v>
      </c>
      <c r="E48" s="2">
        <v>0.1047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