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pkearns/Dropbox/Aqueous Solutions/Josh/Wilkes Environmental Laboratories/ioRodeo/"/>
    </mc:Choice>
  </mc:AlternateContent>
  <xr:revisionPtr revIDLastSave="0" documentId="13_ncr:1_{E7BE060B-D53C-2944-B50A-2F80623F1E8C}" xr6:coauthVersionLast="47" xr6:coauthVersionMax="47" xr10:uidLastSave="{00000000-0000-0000-0000-000000000000}"/>
  <bookViews>
    <workbookView xWindow="5580" yWindow="2300" windowWidth="27640" windowHeight="16940" xr2:uid="{A3DABC8D-8D1F-0F46-95D1-A222AF5C133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8" i="1" l="1"/>
  <c r="L36" i="1"/>
  <c r="L34" i="1"/>
  <c r="L32" i="1"/>
  <c r="L30" i="1"/>
  <c r="L25" i="1"/>
  <c r="L21" i="1"/>
  <c r="L18" i="1"/>
  <c r="L16" i="1"/>
  <c r="L14" i="1"/>
  <c r="L11" i="1"/>
  <c r="L8" i="1"/>
  <c r="F47" i="1" l="1"/>
  <c r="F45" i="1"/>
  <c r="F43" i="1"/>
  <c r="F41" i="1"/>
  <c r="F39" i="1"/>
  <c r="F37" i="1"/>
  <c r="F35" i="1"/>
  <c r="F33" i="1"/>
  <c r="F31" i="1"/>
  <c r="F29" i="1"/>
  <c r="F22" i="1"/>
  <c r="F20" i="1"/>
  <c r="F18" i="1"/>
  <c r="F16" i="1"/>
  <c r="F14" i="1"/>
  <c r="F12" i="1"/>
  <c r="F10" i="1"/>
  <c r="F8" i="1"/>
</calcChain>
</file>

<file path=xl/sharedStrings.xml><?xml version="1.0" encoding="utf-8"?>
<sst xmlns="http://schemas.openxmlformats.org/spreadsheetml/2006/main" count="22" uniqueCount="11">
  <si>
    <t>Real Tech</t>
  </si>
  <si>
    <t>DIY</t>
  </si>
  <si>
    <t>trans.</t>
  </si>
  <si>
    <t>V</t>
  </si>
  <si>
    <t>abs</t>
  </si>
  <si>
    <t>avg</t>
  </si>
  <si>
    <t>Bottle #</t>
  </si>
  <si>
    <t>DI blank</t>
  </si>
  <si>
    <t>Firmware Ver 4.0 (?) trial</t>
  </si>
  <si>
    <t>Firmware Ver 5.0 trial - no 0.100 cm-1 calibration point, need to manually calibrate</t>
  </si>
  <si>
    <t>Firmware Ver 6.0  trial - with 0.100 cm-1 fluorescein standard calibration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</si>
</sst>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CCB53-4685-3145-BE39-ABC5BC9A2775}">
  <dimension ref="B3:O48"/>
  <sheetViews>
    <sheetView tabSelected="1" workbookViewId="0">
      <selection activeCell="B26" sqref="B26"/>
    </sheetView>
  </sheetViews>
  <sheetFormatPr baseColWidth="10" defaultRowHeight="16" x14ac:dyDescent="0.2"/>
  <sheetData>
    <row r="3" spans="2:15" x14ac:dyDescent="0.2">
      <c r="J3" t="s">
        <v>8</v>
      </c>
    </row>
    <row r="4" spans="2:15" x14ac:dyDescent="0.2">
      <c r="B4" t="s">
        <v>9</v>
      </c>
      <c r="K4" t="s">
        <v>6</v>
      </c>
      <c r="L4" s="1" t="s">
        <v>0</v>
      </c>
      <c r="M4" t="s">
        <v>1</v>
      </c>
      <c r="N4" s="1"/>
    </row>
    <row r="5" spans="2:15" x14ac:dyDescent="0.2">
      <c r="B5" s="1" t="s">
        <v>0</v>
      </c>
      <c r="C5" t="s">
        <v>1</v>
      </c>
      <c r="D5" s="1"/>
      <c r="L5" s="1"/>
      <c r="M5" t="s">
        <v>2</v>
      </c>
      <c r="N5" s="1" t="s">
        <v>3</v>
      </c>
      <c r="O5" t="s">
        <v>4</v>
      </c>
    </row>
    <row r="6" spans="2:15" x14ac:dyDescent="0.2">
      <c r="B6" s="1"/>
      <c r="C6" t="s">
        <v>2</v>
      </c>
      <c r="D6" s="1" t="s">
        <v>3</v>
      </c>
      <c r="E6" t="s">
        <v>4</v>
      </c>
      <c r="F6" s="1" t="s">
        <v>5</v>
      </c>
      <c r="J6" t="s">
        <v>7</v>
      </c>
      <c r="K6">
        <v>0</v>
      </c>
      <c r="L6" s="1">
        <v>0</v>
      </c>
      <c r="M6">
        <v>1009</v>
      </c>
      <c r="N6" s="1">
        <v>0.73899999999999999</v>
      </c>
    </row>
    <row r="7" spans="2:15" x14ac:dyDescent="0.2">
      <c r="B7" s="1">
        <v>0</v>
      </c>
      <c r="D7" s="1"/>
      <c r="E7" s="2">
        <v>0</v>
      </c>
      <c r="L7" s="1">
        <v>2E-3</v>
      </c>
      <c r="M7">
        <v>1006</v>
      </c>
      <c r="N7" s="1">
        <v>0.73699999999999999</v>
      </c>
      <c r="O7">
        <v>1.2999999999999999E-3</v>
      </c>
    </row>
    <row r="8" spans="2:15" x14ac:dyDescent="0.2">
      <c r="B8">
        <v>0.10100000000000001</v>
      </c>
      <c r="C8">
        <v>823</v>
      </c>
      <c r="D8">
        <v>0.60299999999999998</v>
      </c>
      <c r="E8">
        <v>8.5400000000000004E-2</v>
      </c>
      <c r="F8" s="1">
        <f>AVERAGE(E8:E9)</f>
        <v>8.4749999999999992E-2</v>
      </c>
      <c r="L8" s="1">
        <f>L7</f>
        <v>2E-3</v>
      </c>
      <c r="M8" s="4">
        <v>1006</v>
      </c>
      <c r="N8">
        <v>0.73699999999999999</v>
      </c>
      <c r="O8" s="2">
        <v>1.1999999999999999E-3</v>
      </c>
    </row>
    <row r="9" spans="2:15" x14ac:dyDescent="0.2">
      <c r="C9">
        <v>825</v>
      </c>
      <c r="D9">
        <v>0.60499999999999998</v>
      </c>
      <c r="E9">
        <v>8.4099999999999994E-2</v>
      </c>
      <c r="K9">
        <v>1</v>
      </c>
      <c r="L9" s="1">
        <v>1.9E-2</v>
      </c>
      <c r="M9">
        <v>965</v>
      </c>
      <c r="N9" s="1">
        <v>0.70699999999999996</v>
      </c>
      <c r="O9">
        <v>1.9300000000000001E-2</v>
      </c>
    </row>
    <row r="10" spans="2:15" x14ac:dyDescent="0.2">
      <c r="B10">
        <v>3.9E-2</v>
      </c>
      <c r="C10">
        <v>925</v>
      </c>
      <c r="D10">
        <v>0.67700000000000005</v>
      </c>
      <c r="E10">
        <v>3.4799999999999998E-2</v>
      </c>
      <c r="F10" s="1">
        <f>AVERAGE(E10:E11)</f>
        <v>3.4500000000000003E-2</v>
      </c>
      <c r="L10" s="1">
        <v>2.1999999999999999E-2</v>
      </c>
      <c r="M10">
        <v>965</v>
      </c>
      <c r="N10" s="1">
        <v>0.70699999999999996</v>
      </c>
      <c r="O10">
        <v>1.9599999999999999E-2</v>
      </c>
    </row>
    <row r="11" spans="2:15" x14ac:dyDescent="0.2">
      <c r="C11">
        <v>926</v>
      </c>
      <c r="D11">
        <v>0.67800000000000005</v>
      </c>
      <c r="E11">
        <v>3.4200000000000001E-2</v>
      </c>
      <c r="L11" s="1">
        <f>L10</f>
        <v>2.1999999999999999E-2</v>
      </c>
      <c r="M11">
        <v>964</v>
      </c>
      <c r="N11" s="1">
        <v>0.70599999999999996</v>
      </c>
      <c r="O11">
        <v>1.9800000000000002E-2</v>
      </c>
    </row>
    <row r="12" spans="2:15" x14ac:dyDescent="0.2">
      <c r="B12">
        <v>1.4E-2</v>
      </c>
      <c r="C12">
        <v>974</v>
      </c>
      <c r="D12">
        <v>0.71399999999999997</v>
      </c>
      <c r="E12">
        <v>1.2200000000000001E-2</v>
      </c>
      <c r="F12" s="1">
        <f>AVERAGE(E12:E13)</f>
        <v>1.2200000000000001E-2</v>
      </c>
      <c r="K12">
        <v>2</v>
      </c>
      <c r="L12" s="1">
        <v>2.8000000000000001E-2</v>
      </c>
      <c r="N12" s="1"/>
      <c r="O12">
        <v>2.76E-2</v>
      </c>
    </row>
    <row r="13" spans="2:15" x14ac:dyDescent="0.2">
      <c r="C13">
        <v>974</v>
      </c>
      <c r="D13">
        <v>0.71399999999999997</v>
      </c>
      <c r="E13">
        <v>1.2200000000000001E-2</v>
      </c>
      <c r="L13" s="1">
        <v>3.2000000000000001E-2</v>
      </c>
      <c r="M13">
        <v>949</v>
      </c>
      <c r="N13" s="1">
        <v>0.69499999999999995</v>
      </c>
      <c r="O13">
        <v>2.6700000000000002E-2</v>
      </c>
    </row>
    <row r="14" spans="2:15" x14ac:dyDescent="0.2">
      <c r="B14">
        <v>5.6000000000000001E-2</v>
      </c>
      <c r="C14">
        <v>902</v>
      </c>
      <c r="D14">
        <v>0.66100000000000003</v>
      </c>
      <c r="E14">
        <v>4.53E-2</v>
      </c>
      <c r="F14" s="1">
        <f>AVERAGE(E14:E15)</f>
        <v>4.4649999999999995E-2</v>
      </c>
      <c r="L14" s="1">
        <f>L13</f>
        <v>3.2000000000000001E-2</v>
      </c>
      <c r="M14">
        <v>945</v>
      </c>
      <c r="N14" s="1">
        <v>0.69199999999999995</v>
      </c>
      <c r="O14">
        <v>2.86E-2</v>
      </c>
    </row>
    <row r="15" spans="2:15" x14ac:dyDescent="0.2">
      <c r="C15">
        <v>905</v>
      </c>
      <c r="D15">
        <v>0.66300000000000003</v>
      </c>
      <c r="E15">
        <v>4.3999999999999997E-2</v>
      </c>
      <c r="K15">
        <v>3</v>
      </c>
      <c r="L15" s="1">
        <v>0.05</v>
      </c>
      <c r="M15">
        <v>910</v>
      </c>
      <c r="N15" s="1">
        <v>0.66700000000000004</v>
      </c>
      <c r="O15">
        <v>4.4699999999999997E-2</v>
      </c>
    </row>
    <row r="16" spans="2:15" x14ac:dyDescent="0.2">
      <c r="B16">
        <v>3.5999999999999997E-2</v>
      </c>
      <c r="C16">
        <v>937</v>
      </c>
      <c r="D16">
        <v>0.68600000000000005</v>
      </c>
      <c r="E16">
        <v>2.9100000000000001E-2</v>
      </c>
      <c r="F16" s="1">
        <f>AVERAGE(E16:E17)</f>
        <v>2.9100000000000001E-2</v>
      </c>
      <c r="L16" s="1">
        <f>L15</f>
        <v>0.05</v>
      </c>
      <c r="N16" s="1"/>
      <c r="O16">
        <v>4.6399999999999997E-2</v>
      </c>
    </row>
    <row r="17" spans="2:15" x14ac:dyDescent="0.2">
      <c r="C17">
        <v>937</v>
      </c>
      <c r="D17">
        <v>0.68600000000000005</v>
      </c>
      <c r="E17">
        <v>2.9100000000000001E-2</v>
      </c>
      <c r="L17" s="1">
        <v>5.7000000000000002E-2</v>
      </c>
      <c r="M17">
        <v>907</v>
      </c>
      <c r="N17" s="1">
        <v>0.66500000000000004</v>
      </c>
      <c r="O17">
        <v>4.6199999999999998E-2</v>
      </c>
    </row>
    <row r="18" spans="2:15" x14ac:dyDescent="0.2">
      <c r="B18">
        <v>3.4000000000000002E-2</v>
      </c>
      <c r="C18">
        <v>940</v>
      </c>
      <c r="D18">
        <v>0.68899999999999995</v>
      </c>
      <c r="E18">
        <v>2.7699999999999999E-2</v>
      </c>
      <c r="F18" s="1">
        <f>AVERAGE(E18:E19)</f>
        <v>2.7949999999999999E-2</v>
      </c>
      <c r="L18" s="1">
        <f>L17</f>
        <v>5.7000000000000002E-2</v>
      </c>
      <c r="M18">
        <v>904</v>
      </c>
      <c r="N18" s="1">
        <v>0.66200000000000003</v>
      </c>
      <c r="O18">
        <v>4.8000000000000001E-2</v>
      </c>
    </row>
    <row r="19" spans="2:15" x14ac:dyDescent="0.2">
      <c r="C19">
        <v>939</v>
      </c>
      <c r="D19">
        <v>0.68799999999999994</v>
      </c>
      <c r="E19">
        <v>2.8199999999999999E-2</v>
      </c>
      <c r="K19">
        <v>4</v>
      </c>
      <c r="L19" s="1">
        <v>8.9999999999999993E-3</v>
      </c>
      <c r="M19">
        <v>984</v>
      </c>
      <c r="N19" s="1">
        <v>0.72099999999999997</v>
      </c>
      <c r="O19">
        <v>1.11E-2</v>
      </c>
    </row>
    <row r="20" spans="2:15" x14ac:dyDescent="0.2">
      <c r="B20">
        <v>2.4E-2</v>
      </c>
      <c r="C20">
        <v>959</v>
      </c>
      <c r="D20">
        <v>0.70199999999999996</v>
      </c>
      <c r="E20">
        <v>1.9E-2</v>
      </c>
      <c r="F20" s="1">
        <f>AVERAGE(E20:E21)</f>
        <v>1.84E-2</v>
      </c>
      <c r="L20" s="1">
        <v>1.2E-2</v>
      </c>
      <c r="M20">
        <v>985</v>
      </c>
      <c r="N20" s="1">
        <v>0.72199999999999998</v>
      </c>
      <c r="O20">
        <v>1.06E-2</v>
      </c>
    </row>
    <row r="21" spans="2:15" x14ac:dyDescent="0.2">
      <c r="C21">
        <v>962</v>
      </c>
      <c r="D21">
        <v>0.70399999999999996</v>
      </c>
      <c r="E21">
        <v>1.78E-2</v>
      </c>
      <c r="L21" s="1">
        <f>L20</f>
        <v>1.2E-2</v>
      </c>
      <c r="M21">
        <v>983</v>
      </c>
      <c r="N21" s="1">
        <v>0.72</v>
      </c>
      <c r="O21">
        <v>1.12E-2</v>
      </c>
    </row>
    <row r="22" spans="2:15" x14ac:dyDescent="0.2">
      <c r="B22">
        <v>-1E-3</v>
      </c>
      <c r="C22">
        <v>1014</v>
      </c>
      <c r="D22">
        <v>0.74299999999999999</v>
      </c>
      <c r="E22">
        <v>-5.4000000000000003E-3</v>
      </c>
      <c r="F22" s="1">
        <f>AVERAGE(E22:E23)</f>
        <v>-4.7500000000000007E-3</v>
      </c>
      <c r="K22">
        <v>5</v>
      </c>
      <c r="L22" s="1">
        <v>1E-3</v>
      </c>
      <c r="M22">
        <v>1002</v>
      </c>
      <c r="N22" s="1">
        <v>0.73399999999999999</v>
      </c>
      <c r="O22">
        <v>3.3E-3</v>
      </c>
    </row>
    <row r="23" spans="2:15" x14ac:dyDescent="0.2">
      <c r="C23">
        <v>1011</v>
      </c>
      <c r="D23">
        <v>0.74099999999999999</v>
      </c>
      <c r="E23">
        <v>-4.1000000000000003E-3</v>
      </c>
      <c r="K23">
        <v>6</v>
      </c>
      <c r="L23" s="1">
        <v>4.1000000000000002E-2</v>
      </c>
      <c r="M23">
        <v>930</v>
      </c>
      <c r="N23" s="1">
        <v>0.68100000000000005</v>
      </c>
      <c r="O23">
        <v>3.56E-2</v>
      </c>
    </row>
    <row r="24" spans="2:15" x14ac:dyDescent="0.2">
      <c r="F24" s="3"/>
      <c r="L24" s="1">
        <v>4.7E-2</v>
      </c>
      <c r="M24">
        <v>927</v>
      </c>
      <c r="N24" s="1">
        <v>0.67900000000000005</v>
      </c>
      <c r="O24">
        <v>3.6999999999999998E-2</v>
      </c>
    </row>
    <row r="25" spans="2:15" x14ac:dyDescent="0.2">
      <c r="L25" s="1">
        <f>L24</f>
        <v>4.7E-2</v>
      </c>
      <c r="M25">
        <v>925</v>
      </c>
      <c r="N25" s="1">
        <v>0.66700000000000004</v>
      </c>
      <c r="O25">
        <v>3.7999999999999999E-2</v>
      </c>
    </row>
    <row r="26" spans="2:15" x14ac:dyDescent="0.2">
      <c r="B26" t="s">
        <v>10</v>
      </c>
      <c r="K26">
        <v>7</v>
      </c>
      <c r="L26" s="1">
        <v>2E-3</v>
      </c>
      <c r="M26">
        <v>996</v>
      </c>
      <c r="N26" s="1">
        <v>0.73</v>
      </c>
      <c r="O26">
        <v>5.7000000000000002E-3</v>
      </c>
    </row>
    <row r="27" spans="2:15" x14ac:dyDescent="0.2">
      <c r="B27" s="1" t="s">
        <v>0</v>
      </c>
      <c r="C27" t="s">
        <v>1</v>
      </c>
      <c r="D27" s="1"/>
      <c r="K27">
        <v>8</v>
      </c>
      <c r="L27" s="1">
        <v>5.0000000000000001E-3</v>
      </c>
      <c r="M27">
        <v>995</v>
      </c>
      <c r="N27" s="1">
        <v>0.72899999999999998</v>
      </c>
      <c r="O27">
        <v>6.3E-3</v>
      </c>
    </row>
    <row r="28" spans="2:15" x14ac:dyDescent="0.2">
      <c r="B28" s="1"/>
      <c r="C28" t="s">
        <v>2</v>
      </c>
      <c r="D28" s="1" t="s">
        <v>3</v>
      </c>
      <c r="E28" t="s">
        <v>4</v>
      </c>
      <c r="F28" s="1" t="s">
        <v>5</v>
      </c>
      <c r="K28">
        <v>9</v>
      </c>
      <c r="L28" s="1">
        <v>6.3E-2</v>
      </c>
      <c r="M28">
        <v>897</v>
      </c>
      <c r="N28" s="1">
        <v>0.65700000000000003</v>
      </c>
      <c r="O28">
        <v>5.1299999999999998E-2</v>
      </c>
    </row>
    <row r="29" spans="2:15" x14ac:dyDescent="0.2">
      <c r="B29" s="1">
        <v>7.0000000000000007E-2</v>
      </c>
      <c r="C29">
        <v>892</v>
      </c>
      <c r="D29" s="1">
        <v>0.65300000000000002</v>
      </c>
      <c r="E29" s="2">
        <v>7.4200000000000002E-2</v>
      </c>
      <c r="F29" s="2">
        <f>AVERAGE(E29:E30)</f>
        <v>7.3450000000000001E-2</v>
      </c>
      <c r="L29" s="1">
        <v>6.2E-2</v>
      </c>
      <c r="M29">
        <v>899</v>
      </c>
      <c r="N29" s="1">
        <v>0.65900000000000003</v>
      </c>
      <c r="O29">
        <v>5.0200000000000002E-2</v>
      </c>
    </row>
    <row r="30" spans="2:15" x14ac:dyDescent="0.2">
      <c r="C30">
        <v>895</v>
      </c>
      <c r="D30">
        <v>0.65500000000000003</v>
      </c>
      <c r="E30">
        <v>7.2700000000000001E-2</v>
      </c>
      <c r="L30" s="1">
        <f>L29</f>
        <v>6.2E-2</v>
      </c>
      <c r="M30">
        <v>899</v>
      </c>
      <c r="N30" s="1">
        <v>0.65900000000000003</v>
      </c>
      <c r="O30">
        <v>5.0200000000000002E-2</v>
      </c>
    </row>
    <row r="31" spans="2:15" x14ac:dyDescent="0.2">
      <c r="B31">
        <v>1.6E-2</v>
      </c>
      <c r="C31">
        <v>978</v>
      </c>
      <c r="D31">
        <v>0.71599999999999997</v>
      </c>
      <c r="E31">
        <v>2.7400000000000001E-2</v>
      </c>
      <c r="F31" s="2">
        <f>AVERAGE(E31:E32)</f>
        <v>2.7349999999999999E-2</v>
      </c>
      <c r="K31">
        <v>10</v>
      </c>
      <c r="L31" s="1">
        <v>7.5999999999999998E-2</v>
      </c>
      <c r="M31">
        <v>880</v>
      </c>
      <c r="N31" s="1">
        <v>0.65400000000000003</v>
      </c>
      <c r="O31">
        <v>5.9400000000000001E-2</v>
      </c>
    </row>
    <row r="32" spans="2:15" x14ac:dyDescent="0.2">
      <c r="C32">
        <v>978</v>
      </c>
      <c r="D32" s="1">
        <v>0.71699999999999997</v>
      </c>
      <c r="E32">
        <v>2.7300000000000001E-2</v>
      </c>
      <c r="L32" s="1">
        <f>L31</f>
        <v>7.5999999999999998E-2</v>
      </c>
      <c r="M32">
        <v>881</v>
      </c>
      <c r="N32" s="1">
        <v>0.65400000000000003</v>
      </c>
      <c r="O32">
        <v>5.91E-2</v>
      </c>
    </row>
    <row r="33" spans="2:15" x14ac:dyDescent="0.2">
      <c r="B33">
        <v>8.6999999999999994E-2</v>
      </c>
      <c r="C33">
        <v>880</v>
      </c>
      <c r="D33" s="1">
        <v>0.64400000000000002</v>
      </c>
      <c r="E33">
        <v>8.1199999999999994E-2</v>
      </c>
      <c r="F33" s="2">
        <f>AVERAGE(E33:E34)</f>
        <v>8.0499999999999988E-2</v>
      </c>
      <c r="L33" s="1">
        <v>7.4999999999999997E-2</v>
      </c>
      <c r="M33">
        <v>885</v>
      </c>
      <c r="N33" s="1">
        <v>0.64800000000000002</v>
      </c>
      <c r="O33">
        <v>5.6899999999999999E-2</v>
      </c>
    </row>
    <row r="34" spans="2:15" x14ac:dyDescent="0.2">
      <c r="C34">
        <v>882</v>
      </c>
      <c r="D34" s="1">
        <v>0.64600000000000002</v>
      </c>
      <c r="E34">
        <v>7.9799999999999996E-2</v>
      </c>
      <c r="L34" s="1">
        <f>L33</f>
        <v>7.4999999999999997E-2</v>
      </c>
      <c r="M34">
        <v>882</v>
      </c>
      <c r="N34" s="1">
        <v>0.64600000000000002</v>
      </c>
      <c r="O34">
        <v>5.8299999999999998E-2</v>
      </c>
    </row>
    <row r="35" spans="2:15" x14ac:dyDescent="0.2">
      <c r="B35">
        <v>3.6999999999999998E-2</v>
      </c>
      <c r="C35">
        <v>947</v>
      </c>
      <c r="D35" s="1">
        <v>0.69399999999999995</v>
      </c>
      <c r="E35">
        <v>4.3799999999999999E-2</v>
      </c>
      <c r="F35" s="2">
        <f>AVERAGE(E35:E36)</f>
        <v>4.385E-2</v>
      </c>
      <c r="K35">
        <v>11</v>
      </c>
      <c r="L35" s="1">
        <v>5.3999999999999999E-2</v>
      </c>
      <c r="M35">
        <v>910</v>
      </c>
      <c r="N35" s="1">
        <v>0.66700000000000004</v>
      </c>
      <c r="O35">
        <v>4.4900000000000002E-2</v>
      </c>
    </row>
    <row r="36" spans="2:15" x14ac:dyDescent="0.2">
      <c r="C36">
        <v>947</v>
      </c>
      <c r="D36" s="1">
        <v>0.69399999999999995</v>
      </c>
      <c r="E36">
        <v>4.3900000000000002E-2</v>
      </c>
      <c r="L36" s="1">
        <f>L35</f>
        <v>5.3999999999999999E-2</v>
      </c>
      <c r="M36">
        <v>915</v>
      </c>
      <c r="N36" s="1">
        <v>0.67</v>
      </c>
      <c r="O36">
        <v>4.2700000000000002E-2</v>
      </c>
    </row>
    <row r="37" spans="2:15" x14ac:dyDescent="0.2">
      <c r="B37">
        <v>3.2000000000000001E-2</v>
      </c>
      <c r="C37">
        <v>955</v>
      </c>
      <c r="D37" s="1">
        <v>0.69899999999999995</v>
      </c>
      <c r="E37">
        <v>3.9699999999999999E-2</v>
      </c>
      <c r="F37" s="2">
        <f>AVERAGE(E37:E38)</f>
        <v>3.9949999999999999E-2</v>
      </c>
      <c r="L37" s="1">
        <v>5.1999999999999998E-2</v>
      </c>
      <c r="M37">
        <v>911</v>
      </c>
      <c r="N37" s="1">
        <v>0.66800000000000004</v>
      </c>
      <c r="O37">
        <v>4.4299999999999999E-2</v>
      </c>
    </row>
    <row r="38" spans="2:15" x14ac:dyDescent="0.2">
      <c r="C38">
        <v>954</v>
      </c>
      <c r="D38" s="1">
        <v>0.69899999999999995</v>
      </c>
      <c r="E38">
        <v>4.02E-2</v>
      </c>
      <c r="L38" s="1">
        <f>L37</f>
        <v>5.1999999999999998E-2</v>
      </c>
      <c r="M38">
        <v>916</v>
      </c>
      <c r="N38" s="1">
        <v>0.67100000000000004</v>
      </c>
      <c r="O38">
        <v>4.1799999999999997E-2</v>
      </c>
    </row>
    <row r="39" spans="2:15" x14ac:dyDescent="0.2">
      <c r="B39">
        <v>2.5999999999999999E-2</v>
      </c>
      <c r="C39">
        <v>962</v>
      </c>
      <c r="D39" s="1">
        <v>0.70499999999999996</v>
      </c>
      <c r="E39">
        <v>3.5999999999999997E-2</v>
      </c>
      <c r="F39" s="2">
        <f>AVERAGE(E39:E40)</f>
        <v>3.6900000000000002E-2</v>
      </c>
    </row>
    <row r="40" spans="2:15" x14ac:dyDescent="0.2">
      <c r="C40">
        <v>958</v>
      </c>
      <c r="D40" s="1">
        <v>0.70199999999999996</v>
      </c>
      <c r="E40">
        <v>3.78E-2</v>
      </c>
    </row>
    <row r="41" spans="2:15" x14ac:dyDescent="0.2">
      <c r="B41">
        <v>2.5000000000000001E-2</v>
      </c>
      <c r="C41">
        <v>966</v>
      </c>
      <c r="D41" s="1">
        <v>0.7</v>
      </c>
      <c r="E41">
        <v>3.3500000000000002E-2</v>
      </c>
      <c r="F41" s="2">
        <f>AVERAGE(E41:E42)</f>
        <v>3.2850000000000004E-2</v>
      </c>
    </row>
    <row r="42" spans="2:15" x14ac:dyDescent="0.2">
      <c r="C42">
        <v>969</v>
      </c>
      <c r="D42" s="1">
        <v>0.71</v>
      </c>
      <c r="E42">
        <v>3.2199999999999999E-2</v>
      </c>
    </row>
    <row r="43" spans="2:15" x14ac:dyDescent="0.2">
      <c r="B43">
        <v>1.0999999999999999E-2</v>
      </c>
      <c r="C43">
        <v>994</v>
      </c>
      <c r="D43" s="1">
        <v>0.72899999999999998</v>
      </c>
      <c r="E43">
        <v>1.9E-2</v>
      </c>
      <c r="F43" s="2">
        <f>AVERAGE(E43:E44)</f>
        <v>1.8749999999999999E-2</v>
      </c>
    </row>
    <row r="44" spans="2:15" x14ac:dyDescent="0.2">
      <c r="C44">
        <v>995</v>
      </c>
      <c r="D44" s="1">
        <v>0.72899999999999998</v>
      </c>
      <c r="E44">
        <v>1.8499999999999999E-2</v>
      </c>
    </row>
    <row r="45" spans="2:15" x14ac:dyDescent="0.2">
      <c r="B45">
        <v>3.9E-2</v>
      </c>
      <c r="C45">
        <v>943</v>
      </c>
      <c r="D45" s="1">
        <v>0.69099999999999995</v>
      </c>
      <c r="E45">
        <v>4.58E-2</v>
      </c>
      <c r="F45" s="2">
        <f>AVERAGE(E45:E46)</f>
        <v>4.5249999999999999E-2</v>
      </c>
    </row>
    <row r="46" spans="2:15" x14ac:dyDescent="0.2">
      <c r="C46">
        <v>945</v>
      </c>
      <c r="D46" s="1">
        <v>0.69199999999999995</v>
      </c>
      <c r="E46">
        <v>4.4699999999999997E-2</v>
      </c>
    </row>
    <row r="47" spans="2:15" x14ac:dyDescent="0.2">
      <c r="B47">
        <v>0.10199999999999999</v>
      </c>
      <c r="C47">
        <v>842</v>
      </c>
      <c r="D47" s="1">
        <v>0.61699999999999999</v>
      </c>
      <c r="E47">
        <v>0.1032</v>
      </c>
      <c r="F47" s="2">
        <f>AVERAGE(E47:E48)</f>
        <v>0.10395</v>
      </c>
    </row>
    <row r="48" spans="2:15" x14ac:dyDescent="0.2">
      <c r="C48">
        <v>840</v>
      </c>
      <c r="D48" s="1">
        <v>0.61499999999999999</v>
      </c>
      <c r="E48">
        <v>0.1047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Kearns</dc:creator>
  <cp:lastModifiedBy>Josh Kearns</cp:lastModifiedBy>
  <dcterms:created xsi:type="dcterms:W3CDTF">2026-08-09T20:53:40Z</dcterms:created>
  <dcterms:modified xsi:type="dcterms:W3CDTF">2026-08-09T21:41:07Z</dcterms:modified>
</cp:coreProperties>
</file>